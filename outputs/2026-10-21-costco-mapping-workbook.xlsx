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MarkDallas\GitHub\Shehadey-Foods-OLP\outputs\"/>
    </mc:Choice>
  </mc:AlternateContent>
  <xr:revisionPtr revIDLastSave="0" documentId="13_ncr:1_{45076F4D-7FC9-4D9B-8F45-DDEB57398B53}" xr6:coauthVersionLast="47" xr6:coauthVersionMax="47" xr10:uidLastSave="{00000000-0000-0000-0000-000000000000}"/>
  <bookViews>
    <workbookView xWindow="33720" yWindow="-120" windowWidth="29040" windowHeight="17520" tabRatio="500" activeTab="3" xr2:uid="{00000000-000D-0000-FFFF-FFFF00000000}"/>
  </bookViews>
  <sheets>
    <sheet name="Summary" sheetId="1" r:id="rId1"/>
    <sheet name="850 Mapping" sheetId="2" r:id="rId2"/>
    <sheet name="810 Mapping" sheetId="3" r:id="rId3"/>
    <sheet name="856 Mapping" sheetId="4" r:id="rId4"/>
    <sheet name="Input 1 - Costco Flat File" sheetId="5" r:id="rId5"/>
    <sheet name="Input 2 - X12 850 Example" sheetId="6" r:id="rId6"/>
    <sheet name="Input 3 - Costco Match (Adam)" sheetId="7" r:id="rId7"/>
    <sheet name="Input 4 - Adam 850 Template" sheetId="8" r:id="rId8"/>
    <sheet name="Input 5 - Walmart Flat File" sheetId="9" r:id="rId9"/>
  </sheets>
  <definedNames>
    <definedName name="_xlnm._FilterDatabase" localSheetId="2" hidden="1">'810 Mapping'!$A$4:$H$53</definedName>
    <definedName name="_xlnm._FilterDatabase" localSheetId="1" hidden="1">'850 Mapping'!$A$4:$H$60</definedName>
    <definedName name="_xlnm._FilterDatabase" localSheetId="3" hidden="1">'856 Mapping'!$A$4:$H$40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7" i="1" l="1"/>
  <c r="E7" i="1"/>
  <c r="D7" i="1"/>
  <c r="C7" i="1"/>
  <c r="G7" i="1" s="1"/>
  <c r="F6" i="1"/>
  <c r="E6" i="1"/>
  <c r="D6" i="1"/>
  <c r="C6" i="1"/>
  <c r="G6" i="1" s="1"/>
  <c r="F5" i="1"/>
  <c r="E5" i="1"/>
  <c r="D5" i="1"/>
  <c r="C5" i="1"/>
  <c r="G5" i="1" s="1"/>
</calcChain>
</file>

<file path=xl/sharedStrings.xml><?xml version="1.0" encoding="utf-8"?>
<sst xmlns="http://schemas.openxmlformats.org/spreadsheetml/2006/main" count="1797" uniqueCount="1019">
  <si>
    <t>Shehadey Foods — Costco Mapping Workbook (draft)</t>
  </si>
  <si>
    <t>Concurrent draft from client templates and sample files, Oct 21 2026. Inferred rows need a paired Costco example to confirm.</t>
  </si>
  <si>
    <t>Document</t>
  </si>
  <si>
    <t>Direction</t>
  </si>
  <si>
    <t>Rows</t>
  </si>
  <si>
    <t>Verified</t>
  </si>
  <si>
    <t>Inferred</t>
  </si>
  <si>
    <t>Open</t>
  </si>
  <si>
    <t>Mapped %</t>
  </si>
  <si>
    <t>850 Purchase Order</t>
  </si>
  <si>
    <t>Costco X12 → ERMS flat file (inbound)</t>
  </si>
  <si>
    <t>810 Invoice</t>
  </si>
  <si>
    <t>ERMS flat file → X12 810 (outbound)</t>
  </si>
  <si>
    <t>856 Ship Notice</t>
  </si>
  <si>
    <t>ERMS flat file → X12 856 (outbound)</t>
  </si>
  <si>
    <t>Inputs used</t>
  </si>
  <si>
    <t>Input 1 — Costco 850 flat file (real, Costco Tracy via SPS)</t>
  </si>
  <si>
    <t>Input 2 — Raw X12 850 (Walmart; no Costco raw 850 received yet)</t>
  </si>
  <si>
    <t>Input 3 — Costco raw EDI ↔ flat file match documented in the client's template</t>
  </si>
  <si>
    <t>Input 4 — Client's 850 mapping template (full text)</t>
  </si>
  <si>
    <t>Input 5 — Walmart flat file that pairs with Input 2</t>
  </si>
  <si>
    <t>850 Purchase Order — Costco X12 → ERMS flat file (inbound)</t>
  </si>
  <si>
    <t>Direction: Costco sends X12 850 to Orderful → Tray maps Orderful's 850 to the ERMS pipe-delimited file (NCS layout) → SFTP → BizLink → ERMS.</t>
  </si>
  <si>
    <t>Record</t>
  </si>
  <si>
    <t>Field</t>
  </si>
  <si>
    <t>Meaning</t>
  </si>
  <si>
    <t>X12 element</t>
  </si>
  <si>
    <t>Orderful JSON</t>
  </si>
  <si>
    <t>Example</t>
  </si>
  <si>
    <t>Status</t>
  </si>
  <si>
    <t>Notes</t>
  </si>
  <si>
    <t>File</t>
  </si>
  <si>
    <t>—</t>
  </si>
  <si>
    <t>One file can hold many orders; each order runs HDR … TOT</t>
  </si>
  <si>
    <t>One ST/SE (850) per order</t>
  </si>
  <si>
    <t>NCW file holds several Walmart orders</t>
  </si>
  <si>
    <t>✅ Verified</t>
  </si>
  <si>
    <t>Seen in NCW batch files.</t>
  </si>
  <si>
    <t>name</t>
  </si>
  <si>
    <t>File name NCS.YYYYMMDDHHMMSS.850.txt (EDI channel); NCW also seen</t>
  </si>
  <si>
    <t>NCS.20261013170149.850.txt</t>
  </si>
  <si>
    <t>❓ Open</t>
  </si>
  <si>
    <t>What do NCS vs NCW mean (channel, plant, partner)? Confirm naming Tray must use.</t>
  </si>
  <si>
    <t>HDR</t>
  </si>
  <si>
    <t>1</t>
  </si>
  <si>
    <t>Record ID</t>
  </si>
  <si>
    <t>Constant.</t>
  </si>
  <si>
    <t>2</t>
  </si>
  <si>
    <t>Date received / transmitted (CCYYMMDD)</t>
  </si>
  <si>
    <t>File creation date (or GS04)</t>
  </si>
  <si>
    <t>receivedDate</t>
  </si>
  <si>
    <t>20261013</t>
  </si>
  <si>
    <t>🟡 Inferred</t>
  </si>
  <si>
    <t>Tray sets this when it writes the file.</t>
  </si>
  <si>
    <t>3</t>
  </si>
  <si>
    <t>Time received (HHMM)</t>
  </si>
  <si>
    <t>File creation time (or GS05)</t>
  </si>
  <si>
    <t>1701</t>
  </si>
  <si>
    <t>Tray sets this.</t>
  </si>
  <si>
    <t>4</t>
  </si>
  <si>
    <t>PO number</t>
  </si>
  <si>
    <t>BEG03</t>
  </si>
  <si>
    <t>purchaseOrderNumber</t>
  </si>
  <si>
    <t>001721013236</t>
  </si>
  <si>
    <t>Confirmed on Costco/SPS PO 012871005279 in client's 850 doc.</t>
  </si>
  <si>
    <t>5</t>
  </si>
  <si>
    <t>Sender ID</t>
  </si>
  <si>
    <t>ISA06</t>
  </si>
  <si>
    <t>senderId</t>
  </si>
  <si>
    <t>COSTCOEDIUSA</t>
  </si>
  <si>
    <t>Confirmed vs raw ISA. With new Orderful ISA, Tray should still write the partner's ID here.</t>
  </si>
  <si>
    <t>6</t>
  </si>
  <si>
    <t>PO number (repeated)</t>
  </si>
  <si>
    <t>BEG03 (or REF customer order #)</t>
  </si>
  <si>
    <t>Equals field 4 in every Costco and Walmart sample. Confirm meaning.</t>
  </si>
  <si>
    <t>7</t>
  </si>
  <si>
    <t>PO date</t>
  </si>
  <si>
    <t>BEG05</t>
  </si>
  <si>
    <t>purchaseOrderDate</t>
  </si>
  <si>
    <t>Matches BEG05 pattern on Walmart raw/flat; confirm on a Costco pair.</t>
  </si>
  <si>
    <t>8–10</t>
  </si>
  <si>
    <t>Unused in samples</t>
  </si>
  <si>
    <t>(blank)</t>
  </si>
  <si>
    <t>Does ERMS ever use these?</t>
  </si>
  <si>
    <t>11</t>
  </si>
  <si>
    <t>Requested delivery date</t>
  </si>
  <si>
    <t>DTM (qualifier per partner: Costco likely 002; Walmart 063/010)</t>
  </si>
  <si>
    <t>dates.requestedDeliveryDate</t>
  </si>
  <si>
    <t>20261020</t>
  </si>
  <si>
    <t>Which DTM qualifier feeds this for Costco? Confirm against a Costco raw 850.</t>
  </si>
  <si>
    <t>12–20</t>
  </si>
  <si>
    <t>21</t>
  </si>
  <si>
    <t>Terms discount percent</t>
  </si>
  <si>
    <t>ITD03</t>
  </si>
  <si>
    <t>termsOfSale (discount %)</t>
  </si>
  <si>
    <t>0.000</t>
  </si>
  <si>
    <t>Walmart: ITD03=1 → 1.000.</t>
  </si>
  <si>
    <t>22</t>
  </si>
  <si>
    <t>Terms discount amount</t>
  </si>
  <si>
    <t>ITD08</t>
  </si>
  <si>
    <t>termsOfSale</t>
  </si>
  <si>
    <t>24</t>
  </si>
  <si>
    <t>FOB location description</t>
  </si>
  <si>
    <t>FOB03</t>
  </si>
  <si>
    <t>carrierDetails / FOB</t>
  </si>
  <si>
    <t>NA</t>
  </si>
  <si>
    <t>Costco FOB*PP*ZZ*NA and Walmart FOB*PP*OR*VARIOUS ZZ both line up.</t>
  </si>
  <si>
    <t>25</t>
  </si>
  <si>
    <t>FOB method of payment</t>
  </si>
  <si>
    <t>FOB01</t>
  </si>
  <si>
    <t>PP</t>
  </si>
  <si>
    <t>26</t>
  </si>
  <si>
    <t>FOB location qualifier</t>
  </si>
  <si>
    <t>FOB02</t>
  </si>
  <si>
    <t>ZZ</t>
  </si>
  <si>
    <t>27</t>
  </si>
  <si>
    <t>Terms type code</t>
  </si>
  <si>
    <t>ITD01</t>
  </si>
  <si>
    <t>termsOfSale.type</t>
  </si>
  <si>
    <t>01</t>
  </si>
  <si>
    <t>Walmart ITD01=08 → 08.</t>
  </si>
  <si>
    <t>28</t>
  </si>
  <si>
    <t>Terms basis date code</t>
  </si>
  <si>
    <t>ITD02</t>
  </si>
  <si>
    <t>termsOfSale.basisDate</t>
  </si>
  <si>
    <t>Walmart ITD02=15 → 15.</t>
  </si>
  <si>
    <t>29</t>
  </si>
  <si>
    <t>Terms discount days due</t>
  </si>
  <si>
    <t>ITD05</t>
  </si>
  <si>
    <t>0</t>
  </si>
  <si>
    <t>Walmart ITD05=15 → 15.</t>
  </si>
  <si>
    <t>30</t>
  </si>
  <si>
    <t>Terms net due date</t>
  </si>
  <si>
    <t>ITD06</t>
  </si>
  <si>
    <t>31</t>
  </si>
  <si>
    <t>Terms net days</t>
  </si>
  <si>
    <t>ITD07</t>
  </si>
  <si>
    <t>16</t>
  </si>
  <si>
    <t>Walmart ITD07=20 → 20.</t>
  </si>
  <si>
    <t>34</t>
  </si>
  <si>
    <t>Customer message / reference</t>
  </si>
  <si>
    <t>Varies: Costco first MSG text; Walmart REF*AN value</t>
  </si>
  <si>
    <t>notes / references</t>
  </si>
  <si>
    <t>1 PALLET MIN- ANY DAY- NEVADA SUFFIX</t>
  </si>
  <si>
    <t>Partner-specific. Confirm what ERMS does with it.</t>
  </si>
  <si>
    <t>HST</t>
  </si>
  <si>
    <t>(blank in samples)</t>
  </si>
  <si>
    <t>Ship-to location ID</t>
  </si>
  <si>
    <t>N1*ST N104 (Costco GLN)</t>
  </si>
  <si>
    <t>parties.shipTo.identificationCode</t>
  </si>
  <si>
    <t>1033918430172</t>
  </si>
  <si>
    <t>Costco/SPS pair matched. ERMS likely looks this up in its cross-reference table.</t>
  </si>
  <si>
    <t>Ship-to name</t>
  </si>
  <si>
    <t>N1*ST N102</t>
  </si>
  <si>
    <t>parties.shipTo.name</t>
  </si>
  <si>
    <t>COSTCO TRACY WET</t>
  </si>
  <si>
    <t>Name is blank for some accounts; ID alone may be enough.</t>
  </si>
  <si>
    <t>Ship-to address line 1</t>
  </si>
  <si>
    <t>N301</t>
  </si>
  <si>
    <t>parties.shipTo.addressLine1</t>
  </si>
  <si>
    <t>25501 GATEWAY BLVD BLDG C</t>
  </si>
  <si>
    <t>Ship-to address line 2</t>
  </si>
  <si>
    <t>N302</t>
  </si>
  <si>
    <t>parties.shipTo.addressLine2</t>
  </si>
  <si>
    <t>Ship-to city</t>
  </si>
  <si>
    <t>N401</t>
  </si>
  <si>
    <t>parties.shipTo.city</t>
  </si>
  <si>
    <t>TRACY</t>
  </si>
  <si>
    <t>8</t>
  </si>
  <si>
    <t>Ship-to state</t>
  </si>
  <si>
    <t>N402</t>
  </si>
  <si>
    <t>parties.shipTo.stateOrProvinceCode</t>
  </si>
  <si>
    <t>CA</t>
  </si>
  <si>
    <t>9</t>
  </si>
  <si>
    <t>Ship-to postal code</t>
  </si>
  <si>
    <t>N403</t>
  </si>
  <si>
    <t>parties.shipTo.postalCode</t>
  </si>
  <si>
    <t>95377</t>
  </si>
  <si>
    <t>10</t>
  </si>
  <si>
    <t>Ship-to country</t>
  </si>
  <si>
    <t>N404</t>
  </si>
  <si>
    <t>parties.shipTo.countryCode</t>
  </si>
  <si>
    <t>HBT</t>
  </si>
  <si>
    <t>2–10</t>
  </si>
  <si>
    <t>Bill-to (same layout as HST)</t>
  </si>
  <si>
    <t>N1*BT loop</t>
  </si>
  <si>
    <t>parties.billTo</t>
  </si>
  <si>
    <t>(all blank for Costco)</t>
  </si>
  <si>
    <t>Costco sends no bill-to; write an empty HBT record.</t>
  </si>
  <si>
    <t>HCM</t>
  </si>
  <si>
    <t>Comment text (one HCM per line)</t>
  </si>
  <si>
    <t>N9/MSG01 lines (Costco); also REF02 / MTX02</t>
  </si>
  <si>
    <t>notes</t>
  </si>
  <si>
    <t>This order incorporates the Costco Wholesale Standard Terms,</t>
  </si>
  <si>
    <t>Costco legal text matched word for word.</t>
  </si>
  <si>
    <t>Comment qualifier</t>
  </si>
  <si>
    <t>N901 / REF01 (e.g., AN, L1)</t>
  </si>
  <si>
    <t>(blank for Costco)</t>
  </si>
  <si>
    <t>Seen on Walmart only.</t>
  </si>
  <si>
    <t>HAL</t>
  </si>
  <si>
    <t>Header allowance/charge code</t>
  </si>
  <si>
    <t>SAC02</t>
  </si>
  <si>
    <t>allowances[]/charges[]</t>
  </si>
  <si>
    <t>(none for Costco)</t>
  </si>
  <si>
    <t>Walmart I410.</t>
  </si>
  <si>
    <t>Method of handling</t>
  </si>
  <si>
    <t>SAC12</t>
  </si>
  <si>
    <t>02 = off-invoice.</t>
  </si>
  <si>
    <t>Amount</t>
  </si>
  <si>
    <t>SAC05 (implied 2 decimals)</t>
  </si>
  <si>
    <t>amount</t>
  </si>
  <si>
    <t>Rate</t>
  </si>
  <si>
    <t>SAC07</t>
  </si>
  <si>
    <t>0.500 for I410.</t>
  </si>
  <si>
    <t>13</t>
  </si>
  <si>
    <t>Allowance or charge indicator</t>
  </si>
  <si>
    <t>SAC01</t>
  </si>
  <si>
    <t>A→allowances[], C→charges[]</t>
  </si>
  <si>
    <t>LDT</t>
  </si>
  <si>
    <t>UPC</t>
  </si>
  <si>
    <t>PO1 value where qualifier = UP</t>
  </si>
  <si>
    <t>productIds.gtin12</t>
  </si>
  <si>
    <t>Costco sends item number only (IN).</t>
  </si>
  <si>
    <t>Buyer (Costco) item number</t>
  </si>
  <si>
    <t>PO1 value where qualifier = IN</t>
  </si>
  <si>
    <t>productIds.buyerItemNumber</t>
  </si>
  <si>
    <t>1268246</t>
  </si>
  <si>
    <t>Costco/SPS pair matched (1084795).</t>
  </si>
  <si>
    <t>Qualifier for field 2</t>
  </si>
  <si>
    <t>PO1 qualifier (UP)</t>
  </si>
  <si>
    <t>Vendor item number</t>
  </si>
  <si>
    <t>PO1 value where qualifier = VN</t>
  </si>
  <si>
    <t>productIds.vendorItemNumber</t>
  </si>
  <si>
    <t>Walmart sample. Client doc calls field 5 'description' — real data disagrees.</t>
  </si>
  <si>
    <t>Unit of measure</t>
  </si>
  <si>
    <t>PO103</t>
  </si>
  <si>
    <t>quantity.unitOfMeasure</t>
  </si>
  <si>
    <t>EA</t>
  </si>
  <si>
    <t>Code list (CA, EA, others) to confirm.</t>
  </si>
  <si>
    <t>Unit of measure (repeated)</t>
  </si>
  <si>
    <t>Item description</t>
  </si>
  <si>
    <t>PID05</t>
  </si>
  <si>
    <t>productAttributes.description</t>
  </si>
  <si>
    <t>ORGANIC WHOLE MILK 2-1GAL PRODUCERS SL13 P120</t>
  </si>
  <si>
    <t>Does this come from Costco's PID or from ERMS item master?</t>
  </si>
  <si>
    <t>12</t>
  </si>
  <si>
    <t>Quantity ordered</t>
  </si>
  <si>
    <t>PO102</t>
  </si>
  <si>
    <t>quantity.value</t>
  </si>
  <si>
    <t>120.000</t>
  </si>
  <si>
    <t>Costco/SPS pair matched.</t>
  </si>
  <si>
    <t>19</t>
  </si>
  <si>
    <t>Unit price</t>
  </si>
  <si>
    <t>PO104</t>
  </si>
  <si>
    <t>unitCostPrice</t>
  </si>
  <si>
    <t>11.3300</t>
  </si>
  <si>
    <t>24–25</t>
  </si>
  <si>
    <t>Vendor item qualifier + value</t>
  </si>
  <si>
    <t>PO1 VN</t>
  </si>
  <si>
    <t>Walmart sample.</t>
  </si>
  <si>
    <t>(0 in samples)</t>
  </si>
  <si>
    <t>LAL</t>
  </si>
  <si>
    <t>2,13…</t>
  </si>
  <si>
    <t>Line allowance/charge (same layout as HAL)</t>
  </si>
  <si>
    <t>SAC inside PO1 loop</t>
  </si>
  <si>
    <t>e.g., C110 bottle deposit, amount 0.00 at PO time.</t>
  </si>
  <si>
    <t>TOT</t>
  </si>
  <si>
    <t>Record ID; always empty</t>
  </si>
  <si>
    <t>— (CTT not passed)</t>
  </si>
  <si>
    <t>Empty in all 632 production files. Must still be written.</t>
  </si>
  <si>
    <t>Not passed</t>
  </si>
  <si>
    <t>X12 data ERMS ignores today</t>
  </si>
  <si>
    <t>PER, TD5, REF*DP/ZZ/YD, CTT, CUR, DTM*175</t>
  </si>
  <si>
    <t>ERMS takes only the records above; Aptean drops the rest.</t>
  </si>
  <si>
    <t>810 Invoice — ERMS flat file → X12 810 (outbound)</t>
  </si>
  <si>
    <t>Direction: ERMS writes the .810 flat file → BizLink → SFTP → Tray maps to Orderful's 810 → Orderful sends X12 to Costco.</t>
  </si>
  <si>
    <t>Batch: many invoices per file, each HDR … TOT</t>
  </si>
  <si>
    <t>One ST/SE (810) per invoice</t>
  </si>
  <si>
    <t>EDITESTredacted.810 has 6 invoices</t>
  </si>
  <si>
    <t>Confirmed in client's 810 doc.</t>
  </si>
  <si>
    <t>Ticket / invoice number</t>
  </si>
  <si>
    <t>BIG02</t>
  </si>
  <si>
    <t>invoiceNumber</t>
  </si>
  <si>
    <t>59697972</t>
  </si>
  <si>
    <t>Client doc ✅.</t>
  </si>
  <si>
    <t>BIG04</t>
  </si>
  <si>
    <t>2D5J93</t>
  </si>
  <si>
    <t>Order / PO date</t>
  </si>
  <si>
    <t>BIG03</t>
  </si>
  <si>
    <t>20260730</t>
  </si>
  <si>
    <t>Delivery date (used as invoice date)</t>
  </si>
  <si>
    <t>BIG01 (also DTM*011 ship date)</t>
  </si>
  <si>
    <t>invoiceDate</t>
  </si>
  <si>
    <t>20260809</t>
  </si>
  <si>
    <t>Client doc ✅. Confirm Costco wants delivery date as invoice date.</t>
  </si>
  <si>
    <t>2–3</t>
  </si>
  <si>
    <t>File date / time</t>
  </si>
  <si>
    <t>ISA/GS (generated)</t>
  </si>
  <si>
    <t>20260810 / 172112</t>
  </si>
  <si>
    <t>14</t>
  </si>
  <si>
    <t>Unknown reference</t>
  </si>
  <si>
    <t>REF? (BOL / ship ticket)</t>
  </si>
  <si>
    <t>references</t>
  </si>
  <si>
    <t>48085467325</t>
  </si>
  <si>
    <t>What is this number?</t>
  </si>
  <si>
    <t>15</t>
  </si>
  <si>
    <t>Date</t>
  </si>
  <si>
    <t>DTM*011 (shipped)</t>
  </si>
  <si>
    <t>dates</t>
  </si>
  <si>
    <t>18</t>
  </si>
  <si>
    <t>Code '6'</t>
  </si>
  <si>
    <t>?</t>
  </si>
  <si>
    <t>ITD04 (discount due date)?</t>
  </si>
  <si>
    <t>20</t>
  </si>
  <si>
    <t>[TermsDiscountPct]</t>
  </si>
  <si>
    <t>Client doc ✅ (redacted in sample).</t>
  </si>
  <si>
    <t>[TermsDiscountAmt]</t>
  </si>
  <si>
    <t>Debit/credit indicator</t>
  </si>
  <si>
    <t>BIG07 (CR = credit memo)</t>
  </si>
  <si>
    <t>invoiceType</t>
  </si>
  <si>
    <t>Blank = invoice, T = credit memo (client doc).</t>
  </si>
  <si>
    <t>Code '1'</t>
  </si>
  <si>
    <t>ITD06 (net due date)?</t>
  </si>
  <si>
    <t>20260823</t>
  </si>
  <si>
    <t>Same as field 36 in sample.</t>
  </si>
  <si>
    <t>32</t>
  </si>
  <si>
    <t>Terms discount days</t>
  </si>
  <si>
    <t>35</t>
  </si>
  <si>
    <t>Terms description</t>
  </si>
  <si>
    <t>ITD12</t>
  </si>
  <si>
    <t>termsOfSale.description</t>
  </si>
  <si>
    <t>Due 14 Days</t>
  </si>
  <si>
    <t>36</t>
  </si>
  <si>
    <t>Currency</t>
  </si>
  <si>
    <t>CUR*SE*USD (hardcode)</t>
  </si>
  <si>
    <t>currency USD</t>
  </si>
  <si>
    <t>Domestic only (client doc).</t>
  </si>
  <si>
    <t>Ship-to location / store number</t>
  </si>
  <si>
    <t>N1*ST N104 (qualifier 92)</t>
  </si>
  <si>
    <t>08216001</t>
  </si>
  <si>
    <t>Which ID Costco expects (92 vs UL/GLN) comes from Costco's guideline.</t>
  </si>
  <si>
    <t>Customer DUNS</t>
  </si>
  <si>
    <t>N1 N104 (qualifier 1) or REF</t>
  </si>
  <si>
    <t>parties.buyer?</t>
  </si>
  <si>
    <t>069331990</t>
  </si>
  <si>
    <t>Same value in HBT. Buyer vs ship-to?</t>
  </si>
  <si>
    <t>4–10</t>
  </si>
  <si>
    <t>Ship-to name, address, city, state, zip, country</t>
  </si>
  <si>
    <t>N1*ST N102, N301/N302, N401–N404</t>
  </si>
  <si>
    <t>parties.shipTo</t>
  </si>
  <si>
    <t>[ShipToName]…</t>
  </si>
  <si>
    <t>Bill-to (same layout)</t>
  </si>
  <si>
    <t>[BillToName]…</t>
  </si>
  <si>
    <t>HRT</t>
  </si>
  <si>
    <t>Sold-by / ship-from name</t>
  </si>
  <si>
    <t>N1*SF (or N1*RI) N102</t>
  </si>
  <si>
    <t>parties.shipFrom / accountsReceivable</t>
  </si>
  <si>
    <t>[ShipFromName]</t>
  </si>
  <si>
    <t>Which party Costco expects is in its guideline.</t>
  </si>
  <si>
    <t>Vendor number assigned by customer?</t>
  </si>
  <si>
    <t>REF*IA</t>
  </si>
  <si>
    <t>96510</t>
  </si>
  <si>
    <t>Confirm meaning.</t>
  </si>
  <si>
    <t>Supplier DUNS</t>
  </si>
  <si>
    <t>N1*SF N104 (qualifier 1)</t>
  </si>
  <si>
    <t>identificationCode</t>
  </si>
  <si>
    <t>008860371</t>
  </si>
  <si>
    <t>8–14</t>
  </si>
  <si>
    <t>Sold-by address</t>
  </si>
  <si>
    <t>N3/N4</t>
  </si>
  <si>
    <t>address</t>
  </si>
  <si>
    <t>[ShipFromAddr1]…</t>
  </si>
  <si>
    <t>ERMS item number</t>
  </si>
  <si>
    <t>IT1 VN</t>
  </si>
  <si>
    <t>000000135</t>
  </si>
  <si>
    <t>Customer item number</t>
  </si>
  <si>
    <t>IT1 IN (buyer item)</t>
  </si>
  <si>
    <t>29439302</t>
  </si>
  <si>
    <t>Client doc says field 25; sample shows it in field 3. Confirm.</t>
  </si>
  <si>
    <t>IT1 UP (12) / UK (13–14)</t>
  </si>
  <si>
    <t>productIds.gtin12/gtin13</t>
  </si>
  <si>
    <t>072935001353</t>
  </si>
  <si>
    <t>Choose qualifier by length.</t>
  </si>
  <si>
    <t>IT103</t>
  </si>
  <si>
    <t>quantityInvoiced.unitOfMeasure</t>
  </si>
  <si>
    <t>EA/CS lookup (client doc).</t>
  </si>
  <si>
    <t>PID*F**…*PID05</t>
  </si>
  <si>
    <t>[ItemDescription]</t>
  </si>
  <si>
    <t>Price per case</t>
  </si>
  <si>
    <t>CTP or derive</t>
  </si>
  <si>
    <t>30.25020</t>
  </si>
  <si>
    <t>400 cases × 30.2502 = 12,100.08 (field 15).</t>
  </si>
  <si>
    <t>— (or IT1 if partner wants ordered)</t>
  </si>
  <si>
    <t>2400.00</t>
  </si>
  <si>
    <t>Units shipped / invoiced</t>
  </si>
  <si>
    <t>IT102</t>
  </si>
  <si>
    <t>quantityInvoiced.value</t>
  </si>
  <si>
    <t>Sum equals TOT field 3 (9,441).</t>
  </si>
  <si>
    <t>Extended amount</t>
  </si>
  <si>
    <t>Used to check TDS</t>
  </si>
  <si>
    <t>12100.08000</t>
  </si>
  <si>
    <t>Sum equals TOT field 5 (42,387.465).</t>
  </si>
  <si>
    <t>17</t>
  </si>
  <si>
    <t>Units per case</t>
  </si>
  <si>
    <t>PO4*01 (pack)</t>
  </si>
  <si>
    <t>Line number</t>
  </si>
  <si>
    <t>IT101</t>
  </si>
  <si>
    <t>lineNumber</t>
  </si>
  <si>
    <t>Increments 1…n.</t>
  </si>
  <si>
    <t>Net unit price</t>
  </si>
  <si>
    <t>IT104</t>
  </si>
  <si>
    <t>unitPrice</t>
  </si>
  <si>
    <t>[NetUnitPrice]</t>
  </si>
  <si>
    <t>Gross unit price</t>
  </si>
  <si>
    <t>CTP (if required)</t>
  </si>
  <si>
    <t>[GrossUnitPrice]</t>
  </si>
  <si>
    <t>Brand code</t>
  </si>
  <si>
    <t>PID or REF</t>
  </si>
  <si>
    <t>productAttributes.brand</t>
  </si>
  <si>
    <t>[Brand]</t>
  </si>
  <si>
    <t>33</t>
  </si>
  <si>
    <t>Brand description</t>
  </si>
  <si>
    <t>[BrandDescription]</t>
  </si>
  <si>
    <t>No home found yet.</t>
  </si>
  <si>
    <t>HMC</t>
  </si>
  <si>
    <t>2,4,5,7</t>
  </si>
  <si>
    <t>Header allowance/charge: description, amount, A/C indicator, code</t>
  </si>
  <si>
    <t>SAC01, SAC02, SAC05, SAC12, SAC15 (header)</t>
  </si>
  <si>
    <t>HMC||BACKHAUL||0|02|54||</t>
  </si>
  <si>
    <t>Rules per client doc; rate-vs-total basis lives in ERMS note table.</t>
  </si>
  <si>
    <t>Line allowance/charge</t>
  </si>
  <si>
    <t>SAC inside IT1 loop</t>
  </si>
  <si>
    <t>flattened to invoice-level (Orderful)</t>
  </si>
  <si>
    <t>LAL||Off Invoice Promotion||@AC|5|02||</t>
  </si>
  <si>
    <t>Per-case vs per-unit rate needs ERMS note-table config.</t>
  </si>
  <si>
    <t>Invoice total</t>
  </si>
  <si>
    <t>TDS01 (implied 2 decimals)</t>
  </si>
  <si>
    <t>invoiceTotal</t>
  </si>
  <si>
    <t>[InvoiceTotal]</t>
  </si>
  <si>
    <t>Total units</t>
  </si>
  <si>
    <t>CTT02 (hash total)</t>
  </si>
  <si>
    <t>9441.00</t>
  </si>
  <si>
    <t>Verified = sum of LDT 14.</t>
  </si>
  <si>
    <t>Sum of extended amounts</t>
  </si>
  <si>
    <t>TDS02 (amount subject to terms)</t>
  </si>
  <si>
    <t>42387.46500</t>
  </si>
  <si>
    <t>Verified = sum of LDT 15.</t>
  </si>
  <si>
    <t>Line count</t>
  </si>
  <si>
    <t>CTT01 (computed)</t>
  </si>
  <si>
    <t>Tray computes.</t>
  </si>
  <si>
    <t>856 Ship Notice — ERMS flat file → X12 856 (outbound)</t>
  </si>
  <si>
    <t>Direction: ERMS writes the .856 flat file → BizLink → SFTP → Tray maps to Orderful's 856 → Orderful sends X12 to Costco.</t>
  </si>
  <si>
    <t>Two source programs: UW (true pallets, SSCC) and RA (order only, no pallets)</t>
  </si>
  <si>
    <t>BSN05 0001 (S-O-T-I) for UW; 0002 (S-O-I) for RA</t>
  </si>
  <si>
    <t>EDI_UW.856 / EDI_RA_redacted.856</t>
  </si>
  <si>
    <t>Client doc. Costco needs SSCC, so only UW-style meets Costco.</t>
  </si>
  <si>
    <t>BSN03 / BSN04</t>
  </si>
  <si>
    <t>20260808 / 013009</t>
  </si>
  <si>
    <t>Order number</t>
  </si>
  <si>
    <t>BSN02 (shipment ID); PRF01 fallback</t>
  </si>
  <si>
    <t>shipmentId</t>
  </si>
  <si>
    <t>59704817</t>
  </si>
  <si>
    <t>Ship-to GLN</t>
  </si>
  <si>
    <t>N1*ST N104 (UL)</t>
  </si>
  <si>
    <t>0078742017389</t>
  </si>
  <si>
    <t>Equals HS field 3.</t>
  </si>
  <si>
    <t>PRF01 (preferred)</t>
  </si>
  <si>
    <t>Rule: use PO if present, else order number (client doc).</t>
  </si>
  <si>
    <t>Order date</t>
  </si>
  <si>
    <t>PRF04</t>
  </si>
  <si>
    <t>20260806</t>
  </si>
  <si>
    <t>Delivery date</t>
  </si>
  <si>
    <t>DTM*017 (estimated delivery)</t>
  </si>
  <si>
    <t>dates.deliveryDate</t>
  </si>
  <si>
    <t>20260810</t>
  </si>
  <si>
    <t>Vendor number</t>
  </si>
  <si>
    <t>1002805 (RA)</t>
  </si>
  <si>
    <t>Captured, not mapped by client.</t>
  </si>
  <si>
    <t>13–14</t>
  </si>
  <si>
    <t>Order number repeat / date</t>
  </si>
  <si>
    <t>DTM*011 (ship date)?</t>
  </si>
  <si>
    <t>59704817 / 20260810</t>
  </si>
  <si>
    <t>20260909</t>
  </si>
  <si>
    <t>HS</t>
  </si>
  <si>
    <t>Store / location number</t>
  </si>
  <si>
    <t>N1*ST N104 (92)</t>
  </si>
  <si>
    <t>02051314</t>
  </si>
  <si>
    <t>Which ID Costco wants comes from its guideline.</t>
  </si>
  <si>
    <t>Walmart UMP 1772 KF</t>
  </si>
  <si>
    <t>5–9</t>
  </si>
  <si>
    <t>Address, city, state, zip</t>
  </si>
  <si>
    <t>N301/N302, N401–N403</t>
  </si>
  <si>
    <t>1108 SE 10th Street … AR 92716</t>
  </si>
  <si>
    <t>HO</t>
  </si>
  <si>
    <t>Order reference</t>
  </si>
  <si>
    <t>PRF? / REF</t>
  </si>
  <si>
    <t>Client doc: meaning unconfirmed.</t>
  </si>
  <si>
    <t>Order / ship date</t>
  </si>
  <si>
    <t>DTM*011</t>
  </si>
  <si>
    <t>dates.shipDate</t>
  </si>
  <si>
    <t>Shipment SSCC (UW only)</t>
  </si>
  <si>
    <t>MAN*GM at shipment level?</t>
  </si>
  <si>
    <t>00712030097048176</t>
  </si>
  <si>
    <t>Client doc: differs from pallet SSCCs.</t>
  </si>
  <si>
    <t>HI</t>
  </si>
  <si>
    <t>LIN VN</t>
  </si>
  <si>
    <t>000201112</t>
  </si>
  <si>
    <t>LIN IN</t>
  </si>
  <si>
    <t>9091809</t>
  </si>
  <si>
    <t>LIN UP</t>
  </si>
  <si>
    <t>071580000100</t>
  </si>
  <si>
    <t>SN103</t>
  </si>
  <si>
    <t>quantityShipped.unitOfMeasure</t>
  </si>
  <si>
    <t>PID*F</t>
  </si>
  <si>
    <t>WHOLE UMPQUA PLASTIC GAL</t>
  </si>
  <si>
    <t>Quantity (ordered = shipped)</t>
  </si>
  <si>
    <t>SN102</t>
  </si>
  <si>
    <t>quantityShipped.value</t>
  </si>
  <si>
    <t>48.00</t>
  </si>
  <si>
    <t>Client doc ✅. RA can't show short ships.</t>
  </si>
  <si>
    <t>Quantity shipped?</t>
  </si>
  <si>
    <t>SN102 (if populated)</t>
  </si>
  <si>
    <t>0 in UW sample. Which field is the real shipped quantity?</t>
  </si>
  <si>
    <t>PO4*01</t>
  </si>
  <si>
    <t>LIN01</t>
  </si>
  <si>
    <t>purchaseOrderLineId</t>
  </si>
  <si>
    <t>0 (UW) / 1…n (RA)</t>
  </si>
  <si>
    <t>— (not usually on 856)</t>
  </si>
  <si>
    <t>4.63000</t>
  </si>
  <si>
    <t>Include only if Costco requires.</t>
  </si>
  <si>
    <t>Short vendor item</t>
  </si>
  <si>
    <t>LIN VN?</t>
  </si>
  <si>
    <t>01112</t>
  </si>
  <si>
    <t>Pallet SSCC (UW only)</t>
  </si>
  <si>
    <t>HL*T/P + MAN*GM (SSCC-18)</t>
  </si>
  <si>
    <t>pallets[]</t>
  </si>
  <si>
    <t>00000712030229800011</t>
  </si>
  <si>
    <t>Rows sharing this value = one pallet (client doc).</t>
  </si>
  <si>
    <t>Stack-high count (UW only)</t>
  </si>
  <si>
    <t>TD1 / PAL (per guideline)</t>
  </si>
  <si>
    <t>pallets[].stackHighCount</t>
  </si>
  <si>
    <t>Not in file</t>
  </si>
  <si>
    <t>Ship-from party</t>
  </si>
  <si>
    <t>N1*SF</t>
  </si>
  <si>
    <t>parties.shipFrom</t>
  </si>
  <si>
    <t>Default per plant from config?</t>
  </si>
  <si>
    <t>Carrier</t>
  </si>
  <si>
    <t>TD5 (SCAC)</t>
  </si>
  <si>
    <t>carrierDetails</t>
  </si>
  <si>
    <t>Hardcode; Shehadey uses its own trucks ('self').</t>
  </si>
  <si>
    <t>Bill of lading / PRO</t>
  </si>
  <si>
    <t>REF*BM / REF*CN</t>
  </si>
  <si>
    <t>No source in ERMS.</t>
  </si>
  <si>
    <t>Packaging / weight</t>
  </si>
  <si>
    <t>TD1</t>
  </si>
  <si>
    <t>Costco may require.</t>
  </si>
  <si>
    <t>Purpose</t>
  </si>
  <si>
    <t>BSN01 = 00 (original)</t>
  </si>
  <si>
    <t>purpose</t>
  </si>
  <si>
    <t>Hardcode.</t>
  </si>
  <si>
    <t>Hierarchy and counts</t>
  </si>
  <si>
    <t>HL loops; CTT01</t>
  </si>
  <si>
    <t>Tray builds from file order.</t>
  </si>
  <si>
    <t>Input 1 — Costco 850 flat file (what ERMS imports)</t>
  </si>
  <si>
    <t>Real production file NCS.20261013170149.850.txt (Costco Tracy, via SPS, sender COSTCOEDIUSA). Repo: specs/850/samples/pipe-delimited/NCS.20261013170149.850.txt. Raw lines first, then every populated field with what the mapping says it is.</t>
  </si>
  <si>
    <t>Field #</t>
  </si>
  <si>
    <t>Value</t>
  </si>
  <si>
    <t>Meaning (from mapping)</t>
  </si>
  <si>
    <t>X12 source (from mapping)</t>
  </si>
  <si>
    <t>RAW FILE</t>
  </si>
  <si>
    <t>HDR|20261013|1701|001721013236|COSTCOEDIUSA|001721013236|20261013||||20261020||||||||||0.000|0.000||NA|PP|ZZ|01|2|0||16|||1 PALLET MIN- ANY DAY- NEVADA SUFFIX||||</t>
  </si>
  <si>
    <t>HST||1033918430172|COSTCO TRACY WET|25501 GATEWAY BLVD BLDG C||TRACY|CA|95377||</t>
  </si>
  <si>
    <t>HBT||||||||||</t>
  </si>
  <si>
    <t>HCM|1 PALLET MIN- ANY DAY- NEVADA SUFFIX|</t>
  </si>
  <si>
    <t>HCM|This order incorporates the Costco Wholesale Standard Terms,|</t>
  </si>
  <si>
    <t>HCM|as they may be amended from time to time, and any applicable|</t>
  </si>
  <si>
    <t>HCM|signed agreements between us.|</t>
  </si>
  <si>
    <t>LDT||1268246|||EA|EA|ORGANIC WHOLE MILK 2-1GAL PRODUCERS  SL13 P120||||120.000|||||||11.3300|||||||0|||||</t>
  </si>
  <si>
    <t>PARSED</t>
  </si>
  <si>
    <t>as they may be amended from time to time, and any applicable</t>
  </si>
  <si>
    <t>signed agreements between us.</t>
  </si>
  <si>
    <t>ORGANIC WHOLE MILK 2-1GAL PRODUCERS  SL13 P120</t>
  </si>
  <si>
    <t>Input 2 — Raw X12 850 (Walmart → Umpqua)</t>
  </si>
  <si>
    <t>No Costco raw 850 has been received yet (Aptean login needed). This Walmart 850 (repo: specs/850/samples/raw-x12/walmart-umpqua.txt) was used as the structural proxy: it has the same segments Costco uses (BEG, FOB, ITD, N9/MSG, PO1). Costco-specific elements came from the client's 850 template (Input 3).</t>
  </si>
  <si>
    <t>#</t>
  </si>
  <si>
    <t>Segment</t>
  </si>
  <si>
    <t>Feeds ERMS field (per mapping)</t>
  </si>
  <si>
    <t>ISA*00* *00* *08*925485US00 *12*5416722638 *261002*0810*:*00501*850102909*0*P*&gt;</t>
  </si>
  <si>
    <t>HDR 5 (sender ID = ISA06)</t>
  </si>
  <si>
    <t>GS*PO*925485US00*5416722638*20261002*0810*850102909*X*005010</t>
  </si>
  <si>
    <t>ST*850*123721</t>
  </si>
  <si>
    <t>BEG*00*SA*0117059666**20261002</t>
  </si>
  <si>
    <t>HDR 4/6 (PO), HDR 7 (PO date)</t>
  </si>
  <si>
    <t>CUR*BY*USD</t>
  </si>
  <si>
    <t>REF*DP*00090</t>
  </si>
  <si>
    <t>HCM / HDR 34 (partner-specific)</t>
  </si>
  <si>
    <t>REF*MR*0037</t>
  </si>
  <si>
    <t>REF*PD*POS REPLEN</t>
  </si>
  <si>
    <t>REF*IA*460912900</t>
  </si>
  <si>
    <t>FOB*PP*OR*VARIOUS ZZ</t>
  </si>
  <si>
    <t>HDR 24–26</t>
  </si>
  <si>
    <t>SAC*A*I410***4718*6*.5*****02</t>
  </si>
  <si>
    <t>HAL (header allowance)</t>
  </si>
  <si>
    <t>ITD*08*15*1**15**20</t>
  </si>
  <si>
    <t>HDR 21, 22, 27–31</t>
  </si>
  <si>
    <t>DTM*001*20261005</t>
  </si>
  <si>
    <t>HDR 11 (delivery date; qualifier per partner)</t>
  </si>
  <si>
    <t>DTM*010*20261005</t>
  </si>
  <si>
    <t>DTM*063*20261005</t>
  </si>
  <si>
    <t>N9*L1*SPECIAL INSTRUCTIONS</t>
  </si>
  <si>
    <t>HCM (comment + qualifier)</t>
  </si>
  <si>
    <t>MTX**NO PRETICKET</t>
  </si>
  <si>
    <t>HCM text</t>
  </si>
  <si>
    <t>N1*FR*WALMART INC.</t>
  </si>
  <si>
    <t>HST / HBT (Costco: N1*ST)</t>
  </si>
  <si>
    <t>N1*SU*UMPQUA DAIRY PRODUCTS CO</t>
  </si>
  <si>
    <t>PO1*001*225*EA*5*LE*IN*575493553*UP*078742352008*VN*01392***IZ*64FOZ*******UK*00078742352008</t>
  </si>
  <si>
    <t>LDT 2–5, 6, 12, 19, 24–25</t>
  </si>
  <si>
    <t>PO4*1</t>
  </si>
  <si>
    <t>SDQ*EA*UL*0078742017990*225</t>
  </si>
  <si>
    <t>HST 3 store location (Walmart)</t>
  </si>
  <si>
    <t>AMT*1*1125</t>
  </si>
  <si>
    <t>PO1*002*18*EA*5*LE*IN*575493654*UP*078742352039*VN*03719*BO*GV FAT*IZ*64FOZ*******UK*00078742352039</t>
  </si>
  <si>
    <t>SDQ*EA*UL*0078742017990*18</t>
  </si>
  <si>
    <t>AMT*1*90</t>
  </si>
  <si>
    <t>PO1*003*36*EA*5*LE*IN*575493878*UP*078742352022*VN*02275*BO*GV 1%*IZ*64FOZ*******UK*00078742352022</t>
  </si>
  <si>
    <t>SDQ*EA*UL*0078742017990*36</t>
  </si>
  <si>
    <t>AMT*1*180</t>
  </si>
  <si>
    <t>PO1*004*225*EA*5*LE*IN*575493959*UP*078742352015*VN*02216***IZ*64FOZ*******UK*00078742352015</t>
  </si>
  <si>
    <t>PO1*005*63*EA*5*LE*IN*575493967*UP*078742006505*VN*03030***IZ*64FOZ*******UK*00078742006505</t>
  </si>
  <si>
    <t>SDQ*EA*UL*0078742017990*63</t>
  </si>
  <si>
    <t>AMT*1*315</t>
  </si>
  <si>
    <t>PO1*006*648*EA*5*LE*IN*575493988*UP*078742351865*VN*01198***IZ*128FOZ*******UK*00078742351865</t>
  </si>
  <si>
    <t>SDQ*EA*UL*0078742017990*648</t>
  </si>
  <si>
    <t>AMT*1*3240</t>
  </si>
  <si>
    <t>PO1*007*432*EA*5*LE*IN*575494056*UP*078742351872*VN*01821***IZ*128FOZ*******UK*00078742351872</t>
  </si>
  <si>
    <t>SDQ*EA*UL*0078742017990*432</t>
  </si>
  <si>
    <t>AMT*1*2160</t>
  </si>
  <si>
    <t>PO1*008*48*EA*5*LE*IN*575494479*UP*078742351896*VN*03581***IZ*128FOZ*******UK*00078742351896</t>
  </si>
  <si>
    <t>SDQ*EA*UL*0078742017990*48</t>
  </si>
  <si>
    <t>AMT*1*240</t>
  </si>
  <si>
    <t>PO1*009*120*EA*5*LE*IN*575494639*UP*078742351889*VN*02240***IZ*128FOZ*******UK*00078742351889</t>
  </si>
  <si>
    <t>SDQ*EA*UL*0078742017990*120</t>
  </si>
  <si>
    <t>AMT*1*600</t>
  </si>
  <si>
    <t>PO1*010*72*EA*5*LE*IN*575494671*UP*605388187345*VN*03028***IZ*128FOZ*******UK*00605388187345</t>
  </si>
  <si>
    <t>SDQ*EA*UL*0078742017990*72</t>
  </si>
  <si>
    <t>AMT*1*360</t>
  </si>
  <si>
    <t>CTT*10</t>
  </si>
  <si>
    <t>AMT*GV*9435</t>
  </si>
  <si>
    <t>SE*60*123721</t>
  </si>
  <si>
    <t>GE*22*850102909</t>
  </si>
  <si>
    <t>IEA*1*850102909</t>
  </si>
  <si>
    <t>Input 3 — Costco raw EDI ↔ flat file match (from the client's 850 template)</t>
  </si>
  <si>
    <t>The client's template documents one Costco/SPS order (PO 012871005279, file NCS.20261005103114.850.txt) where every field matched between raw EDI and the flat file. This is the strongest Costco evidence available until we pull our own pair from Aptean.</t>
  </si>
  <si>
    <t>Raw EDI (Costco via SPS)</t>
  </si>
  <si>
    <t>Flat file</t>
  </si>
  <si>
    <t>Match</t>
  </si>
  <si>
    <t>COSTCOEDIUSA (ISA)</t>
  </si>
  <si>
    <t>COSTCOEDIUSA (HDR field 5)</t>
  </si>
  <si>
    <t>✅</t>
  </si>
  <si>
    <t>012871005279 (BEG03)</t>
  </si>
  <si>
    <t>012871005279 (HDR field 4)</t>
  </si>
  <si>
    <t>Ship-to ID</t>
  </si>
  <si>
    <t>1033918431287 (N1*ST)</t>
  </si>
  <si>
    <t>1033918431287 (HST field 3)</t>
  </si>
  <si>
    <t>COSTCO CENTRAL POINT (N1*ST)</t>
  </si>
  <si>
    <t>COSTCO CENTRAL POINT (HST field 4)</t>
  </si>
  <si>
    <t>Ship-to address</t>
  </si>
  <si>
    <t>3075 HAMRICK ROAD / CENTRAL POINT / OR / 97502 (N3/N4)</t>
  </si>
  <si>
    <t>Same (HST fields 5/7/8/9)</t>
  </si>
  <si>
    <t>Special instruction</t>
  </si>
  <si>
    <t>1MPK= LAYER DELV WEDNESDAY (MSG)</t>
  </si>
  <si>
    <t>Same (HCM)</t>
  </si>
  <si>
    <t>Legal disclaimer</t>
  </si>
  <si>
    <t>Costco Standard Terms text (N9*H5 + MSG)</t>
  </si>
  <si>
    <t>Item 1</t>
  </si>
  <si>
    <t>PO1*1*420*EA*5.35**IN*1084795</t>
  </si>
  <si>
    <t>LDT field 3 / 12 / 19</t>
  </si>
  <si>
    <t>Item 2</t>
  </si>
  <si>
    <t>1497927 / 1470 / 7.62</t>
  </si>
  <si>
    <t>Same</t>
  </si>
  <si>
    <t>Totals</t>
  </si>
  <si>
    <t>CTT*2*1890 (line count, quantity hash)</t>
  </si>
  <si>
    <t>TOT (empty)</t>
  </si>
  <si>
    <t>Other Costco segments seen</t>
  </si>
  <si>
    <t>PER*RE**TE (contact), TD5*****VENDORS CHOICE, REF*DP*17, REF*ZZ*91255 (buyer vendor #), REF*YD, FOB*PP*ZZ*NA, DTM*175</t>
  </si>
  <si>
    <t>Not passed to ERMS</t>
  </si>
  <si>
    <t>Input 4 — Client's 850 mapping template (text)</t>
  </si>
  <si>
    <t>Full text of mapping_template_850 JSONMOSAIC.docx from the client (repo: specs/850/layout/client-850-mapping-research.docx). Tables are flattened to text here; open the Word file for formatting.</t>
  </si>
  <si>
    <t>Line</t>
  </si>
  <si>
    <t>Text</t>
  </si>
  <si>
    <t>Table of Contents</t>
  </si>
  <si>
    <t>850 Purchase Order: Flat File → JSON Field Mapping</t>
  </si>
  <si>
    <t>Status legend: ✅ Confirmed  |  🟡 Working guess, from doc only  |  ❓ Unresolved</t>
  </si>
  <si>
    <t>⚠️ Direction of flow — the one inbound transaction type in this project</t>
  </si>
  <si>
    <t>850 is inbound, unlike every other transaction type covered elsewhere in this work (810, 856, 894 — all outbound). The flow is:</t>
  </si>
  <si>
    <t>Trading partner generates raw EDI → VAN converts it → produces the flat file → our system imports the flat file.</t>
  </si>
  <si>
    <t>This is the reverse of 810/856/894, where our flat file is the starting point we generate, and the VAN converts that into outbound EDI sent to a trading partner. For 850, the flat file is not</t>
  </si>
  <si>
    <t>something we create — it’s the VAN’s translation of EDI we received, and it exists specifically so our system can import and act on the order. Every “source” reference in this document means the</t>
  </si>
  <si>
    <t>inbound flat file the VAN produced, not something generated internally.</t>
  </si>
  <si>
    <t>This covers both source formats found in real data: the pipe-delimited NCS/NCW files (matching our documented internal layout) and the fixed-width PRODUCERS_ORDERS files (Park City Group’s format,</t>
  </si>
  <si>
    <t>used for Costco/Walmart). JSON field names below are the exact keys produced by parse_pipe_850.py and parse_pcg_fixed.py — not conceptual names, the real output keys.</t>
  </si>
  <si>
    <t>Format 1: Pipe-Delimited (NCS / NCW files) → parse_pipe_850.py</t>
  </si>
  <si>
    <t>HDR → order header</t>
  </si>
  <si>
    <t xml:space="preserve">  Flat file                                                          JSON field                                                         Status</t>
  </si>
  <si>
    <t xml:space="preserve">  ------------------------------------------------------------------ ------------------------------------------------------------------ ------------------------------------------------------------------</t>
  </si>
  <si>
    <t xml:space="preserve">  Field 2                                                            receivedDate                                                       ✅</t>
  </si>
  <si>
    <t xml:space="preserve">  Field 4                                                            poNumber                                                           ✅</t>
  </si>
  <si>
    <t xml:space="preserve">  Field 5                                                            senderId                                                           ✅ Confirmed as Sender ID via exact match against real raw EDI</t>
  </si>
  <si>
    <t xml:space="preserve">                                                                                                                                        (ISA Sender Id field). Originally “Unknown” in the source doc.</t>
  </si>
  <si>
    <t xml:space="preserve">                                                                                                                                        Wired into parse_pipe_850.py.</t>
  </si>
  <si>
    <t xml:space="preserve">  Field 11                                                           deliveryDate                                                       ✅</t>
  </si>
  <si>
    <t>HST (Ship-To) / HBT (Bill-To) → shipTo / billTo</t>
  </si>
  <si>
    <t>Same structure for both records.</t>
  </si>
  <si>
    <t xml:space="preserve">  Field 3                                                            tradingPartnerId                                                   ✅</t>
  </si>
  <si>
    <t xml:space="preserve">  Field 4                                                            name                                                               🟡 Confirmed for most accounts, but genuinely varies — see note</t>
  </si>
  <si>
    <t xml:space="preserve">                                                                                                                                        below</t>
  </si>
  <si>
    <t xml:space="preserve">  Field 5                                                            addressLine1                                                       🟡 Only populated as address when Field 4 is blank for that</t>
  </si>
  <si>
    <t xml:space="preserve">                                                                                                                                        account (see note)</t>
  </si>
  <si>
    <t xml:space="preserve">  Field 7                                                            city                                                               ✅ Reliable fallback identifier when name is blank</t>
  </si>
  <si>
    <t xml:space="preserve">  Field 8                                                            state                                                              ✅</t>
  </si>
  <si>
    <t>⚠️ Confirmed real-data finding, not a parsing bug: HST/HBT’s layout is not uniform across accounts. Three distinct patterns observed: 1. name (Field 4) populated normally — most common. 2. name blank,</t>
  </si>
  <si>
    <t>with the street address starting at Field 4 instead, though city (Field 7) remains populated. Matches the original layout doc’s own flagged uncertainty (“Field 5… may be the Ship-to Name”). 3. name,</t>
  </si>
  <si>
    <t>addressLine1, and city all blank — only tradingPartnerId remains. Seen specifically in NCW-prefixed files.</t>
  </si>
  <si>
    <t>The renaming/identification logic falls back through all three in order (name → city → tradingPartnerId) so nothing is left fully unidentified, but don’t assume name is always populated when building</t>
  </si>
  <si>
    <t>anything new against this format.</t>
  </si>
  <si>
    <t>HCM (Comment) → comments[]</t>
  </si>
  <si>
    <t xml:space="preserve">  Field 2                                                            one entry per HCM line in comments[]                               ✅</t>
  </si>
  <si>
    <t>LDT (Line Item) → lineItems[]</t>
  </si>
  <si>
    <t xml:space="preserve">  Field 2                                                            vendorItemNumberOrUPC                                              🟡 Doc notes this may be either, depending on account — not</t>
  </si>
  <si>
    <t xml:space="preserve">                                                                                                                                        disambiguated</t>
  </si>
  <si>
    <t xml:space="preserve">  Field 3                                                            customerItemNumber                                                 🟡 Doc says “should be in our Item Cross Reference File” — not</t>
  </si>
  <si>
    <t xml:space="preserve">                                                                                                                                        independently verified</t>
  </si>
  <si>
    <t xml:space="preserve">  Field 5                                                            description                                                        🟡 Doc notes “not always entered” — confirmed null on some real</t>
  </si>
  <si>
    <t xml:space="preserve">                                                                                                                                        lines</t>
  </si>
  <si>
    <t xml:space="preserve">  Field 6                                                            unitOfMeasure                                                      🟡 Per doc: CA = Cases, otherwise Eaches</t>
  </si>
  <si>
    <t xml:space="preserve">  Field 12                                                           quantity                                                           ✅ Confirmed via exact match against real raw EDI (Costco/SPS</t>
  </si>
  <si>
    <t xml:space="preserve">                                                                                                                                        order cross-validation, see below)</t>
  </si>
  <si>
    <t xml:space="preserve">  Field 19                                                           unitPrice                                                          ✅ Newly discovered and confirmed via the same cross-validation —</t>
  </si>
  <si>
    <t xml:space="preserve">                                                                                                                                        not documented anywhere before this match</t>
  </si>
  <si>
    <t xml:space="preserve">  Field 25                                                           vendorItemDescription                                              🟡 A second, separate description field from Field 5 —</t>
  </si>
  <si>
    <t xml:space="preserve">                                                                                                                                        relationship between the two not confirmed</t>
  </si>
  <si>
    <t>🎯 Major finding: real raw X12 confirms Ship-To mapping AND explains why “Plant” is absent</t>
  </si>
  <si>
    <t>A real VAN-generated raw EDI listing (Dollar General/NCS, Sender ID 069331990INET) was cross-referenced against an existing flat-file example from the same trading partner. Results:</t>
  </si>
  <si>
    <t>Confirmed exact match, independently (not just internal file consistency): - Flat file HST Field 3 (96510) = raw EDI N1*ST**92*96510 (Ship-To, qualifier 92) - Flat file address/city/state/zip</t>
  </si>
  <si>
    <t>(3771 CHANNEL DRIVE / WEST SACRAMENTO / CA / 95691) = raw EDI N3/N4 for the same segment, exactly</t>
  </si>
  <si>
    <t>This is the same tier of validation (real external EDI vs. flat file) that proved out field positions for 894 — genuinely strong confirmation, not a guess.</t>
  </si>
  <si>
    <t>Explains the “Plant” question definitively — for Dollar General: the raw EDI also contains a N1*SF (Ship-From) segment — N1*SF**92*17370 / FAIRFIELD CA / 199 RED TOP ROAD / FAIRFIELD*CA*94534 —</t>
  </si>
  <si>
    <t>representing our own facility (matches the Fairfield plant address confirmed independently in the 856 “fake” program work). This means Plant/Ship-From data does exist in the underlying X12 the</t>
  </si>
  <si>
    <t>customer sends — it’s not that the customer never specifies it. The VAN’s translation into our flat file format appears to drop this segment entirely — no record type in</t>
  </si>
  <si>
    <t>HDR/HST/HBT/HCM/HAL/LDT/LAL/TOT has ever been found to carry it. This is a translation/mapping gap on our own VAN’s side, not a genuine absence in the source data — and potentially actionable if Plant</t>
  </si>
  <si>
    <t>info is ever needed, since the raw data to support it already exists upstream.</t>
  </si>
  <si>
    <t>⚠️ Correction/expansion: Plant/Ship-From is NOT universal across trading partners</t>
  </si>
  <si>
    <t>A second real raw EDI example (Kroger/Foodsco, via a different Sender ID) shows no N1*SF segment at all. This trading partner’s PO structure includes N1*VN (Vendor — explicitly naming us), N1*BT</t>
  </si>
  <si>
    <t>(Bill-To), N1*ST (Ship-To), and N1*SN (a party type not yet confirmed — possibly “Ship Notify,” not independently verified, flagged rather than guessed), but genuinely never specifies a</t>
  </si>
  <si>
    <t>Ship-From/Plant anywhere.</t>
  </si>
  <si>
    <t>Practical implication: whether Plant data exists at the raw EDI level depends on the specific trading partner’s own guideline — it’s not something we can assume is universally present (even upstream</t>
  </si>
  <si>
    <t>of the flat file) just because one partner (Dollar General) includes it. Any future work trying to recover Plant data from raw EDI would need to check per-partner, not assume one partner’s structure</t>
  </si>
  <si>
    <t>applies to all.</t>
  </si>
  <si>
    <t>Also worth noting — real structural variation in line items between partners:</t>
  </si>
  <si>
    <t xml:space="preserve">                                                                     Dollar General (PO1)                                               Kroger (PO1)</t>
  </si>
  <si>
    <t xml:space="preserve">  Price included                                                     Yes (3.4243)                                                       No — not present at all</t>
  </si>
  <si>
    <t xml:space="preserve">  Item identifier qualifiers                                         CB (case), UP (UPC)                                                UK (UPC/GTIN-12), PI (Purchaser’s Item Code), UD (meaning not yet</t>
  </si>
  <si>
    <t xml:space="preserve">                                                                                                                                        confirmed)</t>
  </si>
  <si>
    <t>This confirms, at the raw EDI level, the same kind of per-partner structural variation we’ve already documented extensively for the flat-file side — it’s not only the flat file that varies by account,</t>
  </si>
  <si>
    <t>the underlying X12 itself genuinely differs in which segments and qualifiers each trading partner chooses to populate.</t>
  </si>
  <si>
    <t>Third real example (Raley’s) — confirms the pattern, adds new detail</t>
  </si>
  <si>
    <t>A third raw EDI example (Raley’s) reinforces the above and adds genuinely new findings:</t>
  </si>
  <si>
    <t>Plant/Ship-From tally so far: 1 of 3 partners include it. Raley’s, like Kroger, has no N1*SF segment at all. Only Dollar General’s example included one. Treat Plant/Ship-From as partner-specific, not</t>
  </si>
  <si>
    <t>something to expect by default.</t>
  </si>
  <si>
    <t>Store number triple-confirmed via three independent fields in the same message — genuinely strong validation, not a guess: N1*ST*Raley's 103*9*103 (store number embedded in both the name text and the</t>
  </si>
  <si>
    <t>ID value) and separately REF*ZZ*103 (a “mutually defined” reference segment). All three independently agree on store 103.</t>
  </si>
  <si>
    <t>A third, distinct item-identifier qualifier scheme — every real example so far uses different X12 qualifiers for identifying line items:</t>
  </si>
  <si>
    <t xml:space="preserve">  Partner                                           Qualifiers used                                   Price included?                                   Description (PID) included?</t>
  </si>
  <si>
    <t xml:space="preserve">  ------------------------------------------------- ------------------------------------------------- ------------------------------------------------- -------------------------------------------------</t>
  </si>
  <si>
    <t xml:space="preserve">  Dollar General                                    CB (case), UP (UPC)                               Yes                                               Yes</t>
  </si>
  <si>
    <t xml:space="preserve">  Kroger                                            UK (UPC/GTIN-12), PI (Purchaser’s Item Code), UD  No                                                Yes</t>
  </si>
  <si>
    <t xml:space="preserve">                                                    (unconfirmed)</t>
  </si>
  <si>
    <t xml:space="preserve">  Raley’s                                           IN (unconfirmed — possibly “Internal/Industry     No                                                No — relies entirely on item codes, no</t>
  </si>
  <si>
    <t xml:space="preserve">                                                    Number”), UK (UPC/GTIN-12), VN (Vendor’s — our —                                                    human-readable description anywhere</t>
  </si>
  <si>
    <t xml:space="preserve">                                                    item number)</t>
  </si>
  <si>
    <t>New segment type found: REF (Reference). Not seen in the Dollar General or Kroger examples. Raley’s uses it for several purposes in one message: REF*IA*9002805 (an internal account/reference number),</t>
  </si>
  <si>
    <t>multiple REF*L1 segments carrying literal instructional text and URLs (delivery instructions, terms and conditions links — genuinely human-readable content embedded directly in the EDI, not just</t>
  </si>
  <si>
    <t>codes), REF*ZZ*103 (confirmed above as the store number), and REF*OL*01 (purpose unconfirmed).</t>
  </si>
  <si>
    <t>Fourth real example (Save Mart) — resolves a field that’s been “Unknown” since the start of this work</t>
  </si>
  <si>
    <t>🎯 HDR Field 5 is resolved: it’s the Sender ID. The original 850 layout doc described this field as “Unknown but sometimes the Customers Name, sometimes other strings of Numbers” from the very first</t>
  </si>
  <si>
    <t>message about this transaction type. A real flat-file example (941245496) matches the real raw EDI’s ISA/Sender Id field exactly, for the same trading partner. This is now ✅ confirmed, not a guess.</t>
  </si>
  <si>
    <t>Plant/Ship-From tally: still 1 of 4 partners. Save Mart, like Kroger and Raley’s, has no N1*SF segment.</t>
  </si>
  <si>
    <t>N1*BT and N1*ST share the same name and ID again (Save Mart - Lucky - Food Maxx Stores, 0078744800560) — same pattern as Kroger. Worth noting the ID’s last few digits (...560) differ from an earlier</t>
  </si>
  <si>
    <t>flat-file example for the same chain (...718) — consistent with a per-store suffix on a shared base identifier, not a conflict.</t>
  </si>
  <si>
    <t>A fourth, even richer item-identifier qualifier scheme — and a new qualifier (OT):</t>
  </si>
  <si>
    <t xml:space="preserve">  Partner                                                                                             Qualifiers used</t>
  </si>
  <si>
    <t xml:space="preserve">  --------------------------------------------------------------------------------------------------- ---------------------------------------------------------------------------------------------------</t>
  </si>
  <si>
    <t xml:space="preserve">  Dollar General                                                                                      CB, UP</t>
  </si>
  <si>
    <t xml:space="preserve">  Kroger                                                                                              UK, PI, UD</t>
  </si>
  <si>
    <t xml:space="preserve">  Raley’s                                                                                             IN, UK, VN</t>
  </si>
  <si>
    <t xml:space="preserve">  Save Mart                                                                                           UP, VN, IN, OT — four qualifiers on every line, the richest set seen so far</t>
  </si>
  <si>
    <t>OT’s purpose is unconfirmed — values seen are small 3–4 digit codes (0310, 0320), possibly a department/category code given the limited value range, but this is a guess, not a finding; flagged rather</t>
  </si>
  <si>
    <t>than asserted.</t>
  </si>
  <si>
    <t>PO4 appears on every line here (unlike Dollar General/Kroger, where it was intermittent), and consistently carries a single number (e.g. PO4*40, PO4*160) rather than the multi-element structure seen</t>
  </si>
  <si>
    <t>in Dollar General’s example. Likely a pack/case count, consistent with the pack-factor concept already confirmed across other transaction types in this project — but not independently verified here.</t>
  </si>
  <si>
    <t>Running tally across four real trading partners</t>
  </si>
  <si>
    <t xml:space="preserve">  Finding                                 DG                                      Kroger                                  Raley’s                                 Save Mart</t>
  </si>
  <si>
    <t xml:space="preserve">  --------------------------------------- --------------------------------------- --------------------------------------- --------------------------------------- ---------------------------------------</t>
  </si>
  <si>
    <t xml:space="preserve">  Ship-From (Plant) present               ✅ Yes                                  ❌ No                                   ❌ No                                   ❌ No</t>
  </si>
  <si>
    <t xml:space="preserve">  BT and ST share one ID                  — (not applicable, DG uses ST/SF only)  ✅ Yes                                  — (not applicable)                      ✅ Yes</t>
  </si>
  <si>
    <t xml:space="preserve">  Item description (PID) included         ✅ Yes                                  ✅ Yes                                  ❌ No                                   ❌ No</t>
  </si>
  <si>
    <t xml:space="preserve">  Distinct item-qualifier scheme          CB/UP                                   UK/PI/UD                                IN/UK/VN                                UP/VN/IN/OT</t>
  </si>
  <si>
    <t>The clearest pattern across all four: every single trading partner uses a genuinely different combination of segments and qualifiers. There is no universal 850 structure to assume — each partner’s raw</t>
  </si>
  <si>
    <t>EDI needs to be checked individually, the same conclusion already reached for the flat-file side of this work.</t>
  </si>
  <si>
    <t>A genuinely separate family: Direct Walmart / Sam’s Club (bypasses Park City Group entirely)</t>
  </si>
  <si>
    <t>Confirmed via business context, not inferred: Umpqua’s Walmart/Sam’s Club orders come directly from Walmart, not through Park City Group — unlike the Costco/Walmart orders processed earlier in this</t>
  </si>
  <si>
    <t>project. Six real files (3 Walmart, 3 Sam’s Club) confirm this is a structurally distinct EDI family, not just a different-looking example of the same thing.</t>
  </si>
  <si>
    <t>Immediate structural tells this is a different connection entirely: - Receiver ID is 5416722638 (Umpqua) or PRODDAIR (others) — never PRODNCS, which every Park-City-Group-routed partner used - A</t>
  </si>
  <si>
    <t>CUR*BY*USD (currency) segment appears — not seen in any Park City Group example - Genuinely new segments appear: header-level SAC (allowance/charge), SDQ (store/destination quantity breakdown), AMT</t>
  </si>
  <si>
    <t>(line and total amounts), MTX (free-text memo, including literal truck/routing notes), CTT (transaction line count) - New party roles: N1*FR (Walmart, role not fully confirmed — possibly “From”),</t>
  </si>
  <si>
    <t>N1*SU (Supplier — explicitly names a registered entity), N1*BY (Buying party, Sam’s Club files only)</t>
  </si>
  <si>
    <t>Two genuine, verified cross-checks (not assumptions)</t>
  </si>
  <si>
    <t>1.  AMT*GV (total) exactly equals the sum of every line’s AMT*1 value, checked precisely across two separate real files (e.g. 9435 = 1125+90+180+1125+315+3240+2160+240+600+360, and separately 5707.2 =</t>
  </si>
  <si>
    <t xml:space="preserve">    1910.4+974.4+2822.4). Confirms this is a real, computable total, not a coincidence.</t>
  </si>
  <si>
    <t>2.  REF*IA and REF*AN carry the same underlying number, with REF*AN adding a 01- prefix (e.g. REF*IA*460912900 / and elsewhere REF*IA*825211641 + REF*AN*01-825211641). This resolves a mystery flagged</t>
  </si>
  <si>
    <t xml:space="preserve">    much earlier in this work — an NCW flat-file example had an unexplained trailing field 01-460912900, which exactly matches this REF*IA value with its 01- prefix. Confirmed, not guessed.</t>
  </si>
  <si>
    <t>N1*SU — valuable, but does not cleanly answer “which plant”</t>
  </si>
  <si>
    <t>Initially promising: the Umpqua file’s N1*SU reads UMPQUA DAIRY PRODUCTS CO, suggesting this field might finally identify which specific plant/facility fulfills a given order. Checking all six files</t>
  </si>
  <si>
    <t>disproves the clean version of this hypothesis:</t>
  </si>
  <si>
    <t xml:space="preserve">  File                                                                                                N1*SU value</t>
  </si>
  <si>
    <t xml:space="preserve">  Walmart UMPQUA                                                                                      UMPQUA DAIRY PRODUCTS CO</t>
  </si>
  <si>
    <t xml:space="preserve">  Walmart Fresno                                                                                      Nevada Dairy, LLC</t>
  </si>
  <si>
    <t xml:space="preserve">  Walmart Model Dairy                                                                                 Nevada Dairy, LLC</t>
  </si>
  <si>
    <t xml:space="preserve">  Sams Fresno                                                                                         Nevada Dairy, LLC</t>
  </si>
  <si>
    <t xml:space="preserve">  Sams Fresno 2                                                                                       Nevada Dairy, LLC</t>
  </si>
  <si>
    <t xml:space="preserve">  Sams Model Dairy                                                                                    Nevada Dairy, LLC</t>
  </si>
  <si>
    <t>Both “Fresno” and “Model Dairy” filenames map to the same N1*SU value (Nevada Dairy, LLC) for Sam’s Club orders, and “Model Dairy” shows the same value for Walmart too — meaning N1*SU identifies a</t>
  </si>
  <si>
    <t>registered EDI supplier/legal entity, not the specific plant location the filename implies. Multiple actual facilities can apparently share one EDI-registered entity. This is genuinely new, useful</t>
  </si>
  <si>
    <t>information (confirms real supplier entity names: Umpqua Dairy Products Co, Nevada Dairy LLC) — but it does not resolve “which plant” at the granularity the filenames suggest. That distinction likely</t>
  </si>
  <si>
    <t>exists only in internal business knowledge, not encoded anywhere in this EDI.</t>
  </si>
  <si>
    <t>Other new, partially-confirmed findings</t>
  </si>
  <si>
    <t>-   SAC at the header level (not per-line, unlike other partners’ allowance structures): SAC*A*I410***4718*6*.5*****02 — A (Allowance, consistent with the indicator pattern confirmed elsewhere in this</t>
  </si>
  <si>
    <t xml:space="preserve">    project), 02 at the end (off-invoice method code — consistent with the same code confirmed across 810, 855, and this same 850 work already). I410 is a new, unconfirmed code.</t>
  </si>
  <si>
    <t>-   SDQ (Store/Destination Quantity) appears per-line in the Umpqua file (e.g. SDQ*EA*UL*0078742017990*225) but not in any Sam’s Club file checked — presence appears to vary by specific file/partner,</t>
  </si>
  <si>
    <t xml:space="preserve">    not universal even within this family.</t>
  </si>
  <si>
    <t>-   REF*PD*POS REPLEN — confirms these are POS-replenishment-triggered orders (automatically generated from point-of-sale sales data), a genuine business-process insight, not just a field mapping.</t>
  </si>
  <si>
    <t>-   MTX free-text segments can contain literal operational notes (e.g. TRUCK#  01 FOR 825211641) and even decorative text separators (====) — confirms this field is used as a genuine free-text memo,</t>
  </si>
  <si>
    <t xml:space="preserve">    not a coded value.</t>
  </si>
  <si>
    <t>A third distinct EDI family: SPS Commerce (Costco direct to Umpqua)</t>
  </si>
  <si>
    <t>A real raw EDI file (already clean, no VAN banner — received directly as plain text) confirms yet another separate network/channel: ISA shows sender COSTCOEDIUSA and receiver UMPQUA directly, via SPS</t>
  </si>
  <si>
    <t>Commerce — distinct from both Park City Group and the direct-Walmart/Sam’s Club family documented above. This is now the third confirmed distinct 850 source family in this project.</t>
  </si>
  <si>
    <t>Two verified cross-checks</t>
  </si>
  <si>
    <t>1.  CTT’s second element is a genuine quantity hash-total, not just a line count. CTT*2*1890 — 2 matches the real line count, and 1890 exactly equals the sum of both lines’ quantities (420 + 1470).</t>
  </si>
  <si>
    <t xml:space="preserve">    This is a new confirmed behavior: CTT can optionally carry a second element beyond the simple count seen in the Umpqua/Walmart-direct example (which only showed CTT*10, no second element).</t>
  </si>
  <si>
    <t>2.  HCM’s legal disclaimer text matches, word-for-word, across two completely independent sources. The exact same Costco Wholesale Standard Terms language appeared in a flat-file HCM example found</t>
  </si>
  <si>
    <t xml:space="preserve">    earlier in this project and in this raw EDI’s N9*H5*LEGAL DISCLAIMER + MSG segments. This confirms HCM genuinely represents the N9+MSG combination, not a guess.</t>
  </si>
  <si>
    <t>New segments and structural details found only in this family</t>
  </si>
  <si>
    <t>-   PER (Administrative Contact) — carries a literal phone number (PER*RE**TE*5416307001)</t>
  </si>
  <si>
    <t>-   TD5 (Routing) — TD5*****VENDORS CHOICE confirms Costco leaves carrier/routing choice to us for this order, a real business-process detail</t>
  </si>
  <si>
    <t>-   REF segments carry their own embedded human-readable labels directly in the EDI — e.g. REF*DP*17*COSTCO DEPARTMENT, REF*ZZ*91255*BUYER VENDOR NUMBER, REF*YD*NW101*CREATED BY. Unlike other</t>
  </si>
  <si>
    <t xml:space="preserve">    partners, this doesn’t require guessing what a bare qualifier code means — the label is embedded in the data itself.</t>
  </si>
  <si>
    <t>-   A fifth, minimalist item-identifier scheme: only IN qualifier used (PO1*1*420*EA*5.35**IN*1084795) — no UP/UK/VN/OT combinations seen elsewhere. Reinforces that every partner (now 5 distinct</t>
  </si>
  <si>
    <t xml:space="preserve">    schemes observed) genuinely does this differently.</t>
  </si>
  <si>
    <t>-   N1*ST ID prefix (10339184...) matches the same GLN numbering series found in this project’s earlier 856 work for Costco — a genuine cross-transaction-type validation (not just cross-example within</t>
  </si>
  <si>
    <t xml:space="preserve">    850), suggesting this GLN series is consistent for this trading relationship regardless of which transaction type references it.</t>
  </si>
  <si>
    <t>🎯 The exact same order found in both raw EDI and flat-file form — complete, simultaneous cross-validation</t>
  </si>
  <si>
    <t>A flat file (NCS.20261005103114.850.txt) was found containing the literal same order as the Costco/SPS raw EDI above (PO 012871005279). Every single cross-checkable field matches exactly:</t>
  </si>
  <si>
    <t xml:space="preserve">  Field                                             Raw EDI                                           Flat file                                         Match</t>
  </si>
  <si>
    <t xml:space="preserve">  Sender ID                                         COSTCOEDIUSA (ISA)                                COSTCOEDIUSA (HDR Field 5)                        ✅</t>
  </si>
  <si>
    <t xml:space="preserve">  PO Number                                         012871005279 (BEG03)                              012871005279 (HDR Field 4)                        ✅</t>
  </si>
  <si>
    <t xml:space="preserve">  Ship-To ID                                        1033918431287                                     1033918431287 (HST Field 3)                       ✅</t>
  </si>
  <si>
    <t xml:space="preserve">  Ship-To Name                                      COSTCO CENTRAL POINT                              COSTCO CENTRAL POINT (HST Field 4)                ✅</t>
  </si>
  <si>
    <t xml:space="preserve">  Ship-To Address                                   3075 HAMRICK ROAD / CENTRAL POINT / OR / 97502    Same, exactly (HST Fields 5/7/8/9)                ✅</t>
  </si>
  <si>
    <t xml:space="preserve">  Special instruction text                          1MPK= LAYER DELV WEDNESDAY (MSG)                  Same, exactly (HCM)                               ✅</t>
  </si>
  <si>
    <t xml:space="preserve">  Legal disclaimer text                             Full Costco Standard Terms text (MSG)             Same, exactly (HCM)                               ✅</t>
  </si>
  <si>
    <t xml:space="preserve">  Item 1 (number/qty/price)                         1084795 / 420 / 5.35                              Same, exactly (LDT Field 3 / Field 12 / Field 19) ✅</t>
  </si>
  <si>
    <t xml:space="preserve">  Item 2 (number/qty/price)                         1497927 / 1470 / 7.62                             Same, exactly                                     ✅</t>
  </si>
  <si>
    <t>This confirms a brand-new field: LDT Field 19 (idx18) = Unit Price. Not documented anywhere before this match — the raw EDI’s PO1 price element (5.35) lands exactly at this position in the flat file.</t>
  </si>
  <si>
    <t>quantity (Field 12) is also upgraded from a doc-only guess to fully confirmed — it previously had no independent verification at all.</t>
  </si>
  <si>
    <t>Also reconfirms TOT is genuinely empty, not a parsing gap — this file’s TOT lines show absolutely nothing (TOT\r\n), consistent with every other real example checked across this entire project.</t>
  </si>
  <si>
    <t>This is the single strongest piece of evidence in the whole 850 investigation — not a partial field match, but an entire order confirmed identical across both representations simultaneously.</t>
  </si>
  <si>
    <t>🎯 Major resolution: HAL and LAL — a full month of real data (632 files) resolves both</t>
  </si>
  <si>
    <t>The original doc called HAL entirely “Unknown” and only partially described LAL. A full month of real production files resolves both with strong confidence.</t>
  </si>
  <si>
    <t>HAL — populated 3,274 times, remarkably consistent structure:</t>
  </si>
  <si>
    <t xml:space="preserve">  Field                                                              JSON concept                                                       Status</t>
  </si>
  <si>
    <t xml:space="preserve">  Field 2 (idx1)                                                     Allowance/Charge Code                                              ✅ I410 in 1,676 of 1,677 populated occurrences; E720 once</t>
  </si>
  <si>
    <t xml:space="preserve">  Field 3 (idx2)                                                     Method of Handling                                                 ✅ 02 (off-invoice) in every populated occurrence — same code</t>
  </si>
  <si>
    <t xml:space="preserve">                                                                                                                                        confirmed across 810, 855, 894, and this same 850’s raw EDI work</t>
  </si>
  <si>
    <t xml:space="preserve">  Field 8 (idx7)                                                     Amount                                                             ✅ Real, varying dollar values (e.g. 36.34, 54.60, 17.18)</t>
  </si>
  <si>
    <t xml:space="preserve">  Field 9 (idx8)                                                     Rate (unconfirmed name)                                            🟡 Consistently 0.500 whenever Field 2 is I410 — looks like a</t>
  </si>
  <si>
    <t xml:space="preserve">                                                                                                                                        fixed per-unit rate for this code, not independently verified</t>
  </si>
  <si>
    <t xml:space="preserve">  Field 13 (idx12)                                                   Allowance/Charge Indicator                                         ✅ A (Allowance) in every I410 occurrence</t>
  </si>
  <si>
    <t>Confirmed via direct cross-reference to real raw EDI: the Umpqua direct-Walmart raw EDI (documented above) contains SAC*A*I410***4718*6*.5*****02 — the same code (I410), same method (02), same</t>
  </si>
  <si>
    <t>indicator concept (A), and the same rate value (.5 / 0.500). This is the flat-file’s equivalent of the X12 SAC (Allowance/Charge) segment, confirmed via two independent real sources, not inferred from</t>
  </si>
  <si>
    <t>one.</t>
  </si>
  <si>
    <t>LAL — populated 2,158 times, also resolved:</t>
  </si>
  <si>
    <t xml:space="preserve">  Field 2 (idx1)                                                     Allowance/Charge Code                                              ✅ C110 in 248 occurrences; E720 in 3 — doc’s original guess of</t>
  </si>
  <si>
    <t xml:space="preserve">                                                                                                                                        F800/H910 was never observed in this month’s data, but may still</t>
  </si>
  <si>
    <t xml:space="preserve">                                                                                                                                        be real for other accounts/periods</t>
  </si>
  <si>
    <t xml:space="preserve">  Field 13 (idx12)                                                   Allowance/Charge Indicator                                         ✅ C (Charge) for C110 — confirms this field’s role with a second,</t>
  </si>
  <si>
    <t xml:space="preserve">                                                                                                                                        different real value than HAL’s A</t>
  </si>
  <si>
    <t>C110 resolved via a completely different part of this project: this exact code (C110 = Bottle Deposits, Beer/Wine Only) appears in the Costco/Walmart UCS 4010 spec reviewed much earlier for the 894</t>
  </si>
  <si>
    <t>transaction type — same code, same meaning, confirmed independently across two unrelated transaction types.</t>
  </si>
  <si>
    <t>Resolved — real business reason, not a data quality issue: every real C110 occurrence found this month has 0.00 in the amount field because this is an inbound order (850), and system pricing isn’t</t>
  </si>
  <si>
    <t>finalized until delivery. Allowance/charge amounts genuinely aren’t set yet at the PO stage for this code — they get determined later, at invoice time (810). The C110 code and structure are present to</t>
  </si>
  <si>
    <t>establish that a bottle deposit applies, but the actual dollar figure isn’t known until delivery.</t>
  </si>
  <si>
    <t>Worth noting this doesn’t apply uniformly: HAL’s I410 code, by contrast, does show real, varying dollar amounts already at the PO stage (36.34, 54.60, 17.18, etc.) — not zero. So “pricing not set</t>
  </si>
  <si>
    <t>until delivery” explains LAL/C110’s zero-amount pattern specifically, but isn’t a universal rule for every allowance/charge code in this file. Some codes (like I410, likely a pre-agreed promotional</t>
  </si>
  <si>
    <t>rate) are known at order time; others (like C110, a deposit presumably calculated per-unit at delivery) aren’t.</t>
  </si>
  <si>
    <t>TOT remains completely unconfirmed — zero populated occurrences found across all 632 files this month. Still genuinely “Constant TOT” with nothing else observed, matching the original doc exactly.</t>
  </si>
  <si>
    <t>Not yet mapped into JSON at all</t>
  </si>
  <si>
    <t>-   HAL/LAL — resolved and wired into parse_pipe_850.py as headerAllowancesCharges[] / lineAllowancesCharges[]</t>
  </si>
  <si>
    <t>-   TOT — still has zero real data to build against</t>
  </si>
  <si>
    <t>-   HDR fields 21/22 (“looks like a price or quantity,” per doc) — not parsed, genuinely unclear</t>
  </si>
  <si>
    <t>-   HDR field 34 (“a message from Customer”) — not parsed</t>
  </si>
  <si>
    <t>Format 2: Fixed-Width (PRODUCERS_ORDERS files) → parse_pcg_fixed.py</t>
  </si>
  <si>
    <t>Field positions confirmed directly from Park City Group’s own layout documentation (Walmart 60A, Costco 50A, Pitco specs — identical across all three).</t>
  </si>
  <si>
    <t xml:space="preserve">  Flat file position                                Field name (per PCG doc)                          JSON field                                        Status</t>
  </si>
  <si>
    <t xml:space="preserve">  1–8                                               Transmit Date                                     transmitDate                                      ✅</t>
  </si>
  <si>
    <t xml:space="preserve">  9–18                                              Purchase Order Number                             purchaseOrderNumber                               ✅ position confirmed; ⚠️ genuinely blank for</t>
  </si>
  <si>
    <t xml:space="preserve">                                                                                                                                                        Walmart in real data, populated for Costco — not</t>
  </si>
  <si>
    <t xml:space="preserve">                                                                                                                                                        a parsing error</t>
  </si>
  <si>
    <t xml:space="preserve">  19–26                                             Delivery Date                                     deliveryDate                                      ✅</t>
  </si>
  <si>
    <t xml:space="preserve">  27–56                                             Customer Name                                     customerName                                      ✅</t>
  </si>
  <si>
    <t xml:space="preserve">  57–69                                             Super Store Name                                  superStoreName                                    ✅ GLN (13-digit) for Walmart; short code +</t>
  </si>
  <si>
    <t xml:space="preserve">                                                                                                                                                        padding for Costco</t>
  </si>
  <si>
    <t xml:space="preserve">  70–79                                             Store Number                                      storeNumber                                       ✅ Best available “plant”/picking-location proxy</t>
  </si>
  <si>
    <t xml:space="preserve">                                                                                                                                                        — this is the customer’s own store, confirmed</t>
  </si>
  <si>
    <t xml:space="preserve">                                                                                                                                                        absent of any field representing our own facility</t>
  </si>
  <si>
    <t xml:space="preserve">  80–93                                             UPC Number                                        upc                                               ✅</t>
  </si>
  <si>
    <t xml:space="preserve">  94–102                                            Item Number                                       itemNumber                                        ✅</t>
  </si>
  <si>
    <t xml:space="preserve">  103–142                                           Item Name                                         itemDescription                                   ✅ Walmart/Costco docs incorrectly label this</t>
  </si>
  <si>
    <t xml:space="preserve">                                                                                                                                                        “Unused” — corrected via the Pitco doc, which</t>
  </si>
  <si>
    <t xml:space="preserve">                                                                                                                                                        names it correctly, and confirmed against real</t>
  </si>
  <si>
    <t xml:space="preserve">                                                                                                                                                        populated data</t>
  </si>
  <si>
    <t xml:space="preserve">  143–152                                           Size                                              size                                              ✅ Same “Unused” correction as above</t>
  </si>
  <si>
    <t xml:space="preserve">  153–159                                           Quantity Ordered                                  quantityOrdered                                   ✅</t>
  </si>
  <si>
    <t>Order-level grouping: individual lines in this format are line-items only, not complete orders. parse_pcg_fixed.py groups lines into orders by matching (purchaseOrderNumber, storeNumber), producing</t>
  </si>
  <si>
    <t>one JSON object per order with a lineItems[] array — confirmed working correctly against real multi-line orders in the sample batch.</t>
  </si>
  <si>
    <t>Summary of what’s genuinely confirmed vs. still a documentation-only guess</t>
  </si>
  <si>
    <t>Solidly confirmed (real data, not just doc text): Customer Name position and variability (pipe format), Store Number (fixed-width format, confirmed via three independent PCG docs), the Item</t>
  </si>
  <si>
    <t>Description/Size “Unused” doc correction, Walmart’s blank PO Number behavior, the three-tier HST/HBT fallback pattern.</t>
  </si>
  <si>
    <t>Still only as strong as the original layout doc’s own wording (never independently cross-checked against an external source the way other transaction types’ fields were): most of LDT’s fields in the</t>
  </si>
  <si>
    <t>pipe-delimited format — vendor/customer item number distinction, UOM interpretation, and the relationship between the two description fields.</t>
  </si>
  <si>
    <t>Part 2: Mapping to Orderful’s Real Target Schema</t>
  </si>
  <si>
    <t>Status legend: ✅ Confirmed  |  🟡 Working guess  |  ❓ Unresolved</t>
  </si>
  <si>
    <t>Schema confirmed: https://api.orderful.com/v3/simplified-schemas/PURCHASE_ORDER, title “Simplified Purchase Order.” This document pairs everything confirmed on the source side</t>
  </si>
  <si>
    <t>(mapping_template_850.md) against this real target schema — not guessed field names.</t>
  </si>
  <si>
    <t>Parties — every real party role found across all raw EDI examples has a direct, confirmed home</t>
  </si>
  <si>
    <t xml:space="preserve">  Source (real raw EDI, X12 entityIdentifierCode)                    Target field                                                       Confirmed via</t>
  </si>
  <si>
    <t xml:space="preserve">  BY (Sam’s Club)                                                    parties.buyer                                                      Exact match in schema</t>
  </si>
  <si>
    <t xml:space="preserve">  ST (every partner)                                                 parties.shipTo                                                     Exact match</t>
  </si>
  <si>
    <t xml:space="preserve">  BT (Kroger, Save Mart)                                             parties.billTo                                                     Exact match</t>
  </si>
  <si>
    <t xml:space="preserve">  SF (Dollar General)                                                parties.shipFrom                                                   Exact match (schema also allows PW, not yet seen in real data)</t>
  </si>
  <si>
    <t xml:space="preserve">  SU (Umpqua), VN (Kroger)                                           parties.supplier                                                   Both route to the same field — the distinction drawn earlier</t>
  </si>
  <si>
    <t xml:space="preserve">                                                                                                                                        between these two roles wasn’t necessary; Orderful treats them</t>
  </si>
  <si>
    <t xml:space="preserve">                                                                                                                                        identically</t>
  </si>
  <si>
    <t xml:space="preserve">  SN (Kroger)                                                        parties.store                                                      Resolves an earlier unconfirmed guess — previously flagged as</t>
  </si>
  <si>
    <t xml:space="preserve">                                                                                                                                        “possibly Ship Notify, unconfirmed.” Confirmed as a genuine,</t>
  </si>
  <si>
    <t xml:space="preserve">                                                                                                                                        distinct store party.</t>
  </si>
  <si>
    <t>Not yet seen in any real data, but confirmed to exist in the schema: - parties.manufacturingPlant (entityIdentifierCode=MP) — if “which plant” data ever appears in a real inbound PO, this is where it</t>
  </si>
  <si>
    <t>belongs. Never observed in any example so far. - parties.markFor (Z), agent (AG,BO), consolidator (CS), returnTo (RT), accountsPayable (PO), accountsReceivable (RI), soldTo (SO) — none observed in</t>
  </si>
  <si>
    <t>real data yet.</t>
  </si>
  <si>
    <t>🎯 Major finding: resolves the 856 “Pallet Blocks” / “Pallet Tier” question from months ago</t>
  </si>
  <si>
    <t>This schema’s lineItems.palletConfiguration object gives the exact X12 element names your EDI consultant was asking about during the 856 work:</t>
  </si>
  <si>
    <t xml:space="preserve">  Field                                                              Meaning                                                            X12 source</t>
  </si>
  <si>
    <t xml:space="preserve">  cartonsPerLayer                                                    Number of cartons per layer on the pallet                          palletTypeAndLoadCharacteristics.palletBlocks</t>
  </si>
  <si>
    <t xml:space="preserve">  layersPerPallet                                                    Number of layers stacked on the pallet                             palletTypeAndLoadCharacteristics.palletTiers</t>
  </si>
  <si>
    <t>“Pallet Blocks” = cartons-per-layer. “Pallet Tier” = layers-per-pallet. This came from the 850 schema, not 856’s — but it’s the same underlying X12 concept (PO1_loop.palletTypeAndLoadCharacteristics),</t>
  </si>
  <si>
    <t>and resolves a question that was left open in a completely different part of this project.</t>
  </si>
  <si>
    <t>Dates — three qualifiers already confirmed against real DTM segments we’d previously collected</t>
  </si>
  <si>
    <t xml:space="preserve">  Real DTM qualifier seen                                            Target field                                                       Confirmed via</t>
  </si>
  <si>
    <t xml:space="preserve">  DTM*002                                                            dates.requestedDeliveryDate                                        Exact qualifier match (002 is explicitly listed)</t>
  </si>
  <si>
    <t xml:space="preserve">  DTM*010                                                            dates.requestedShipDate                                            Exact qualifier match (010 is explicitly listed)</t>
  </si>
  <si>
    <t xml:space="preserve">  DTM*001                                                            dates.cancelAfterDate                                              Exact qualifier match</t>
  </si>
  <si>
    <t>❓ DTM*175 (seen in both the Umpqua/Walmart-direct and Costco/SPS raw EDI) does not match any qualifier listed for any date field in this schema. Per the schema’s own stated instruction elsewhere</t>
  </si>
  <si>
    <t>(“when a partner sends a qualifier whose semantics do not match any subfield description, emit a SCHEMA GAP rather than auto-routing it”), this should be treated as a genuine gap, not force-mapped to</t>
  </si>
  <si>
    <t>the closest-sounding field.</t>
  </si>
  <si>
    <t>Allowances / Charges — routes by indicator value, not by source tag</t>
  </si>
  <si>
    <t>Important correction to how we’d been thinking about this: the schema routes based on the X12 allowanceOrChargeIndicatorCode value — A → allowances[], C → charges[] — not based on which flat-file tag</t>
  </si>
  <si>
    <t>(HAL vs LAL) the record came from. It’s a coincidence (confirmed, not assumed) that HAL always carried A and LAL always carried C in every real example found — but the schema’s actual rule is</t>
  </si>
  <si>
    <t>indicator-driven.</t>
  </si>
  <si>
    <t xml:space="preserve">  Confirmed source finding                                           Target                                                             Status</t>
  </si>
  <si>
    <t xml:space="preserve">  HAL (code I410, indicator A)                                       allowances[]                                                       ✅</t>
  </si>
  <si>
    <t xml:space="preserve">  LAL (code C110, indicator C)                                       charges[]                                                          ✅</t>
  </si>
  <si>
    <t>Line Items — product identifiers and pricing</t>
  </si>
  <si>
    <t xml:space="preserve">  Confirmed source finding                                           Target field                                                       Status</t>
  </si>
  <si>
    <t xml:space="preserve">  LDT Field 2/3 (vendor/customer item number)                        productIds.vendorItemNumber / productIds.buyerItemNumber           🟡 Position confirmed from source; exact target field depends on</t>
  </si>
  <si>
    <t xml:space="preserve">                                                                                                                                        which number the value actually represents per account — not yet</t>
  </si>
  <si>
    <t xml:space="preserve">  UPC values seen in fixed-width (PRODUCERS_ORDERS) files            productIds.gtin12                                                  🟡 Reasonable given 12-digit length, consistent with prior GTIN</t>
  </si>
  <si>
    <t xml:space="preserve">                                                                                                                                        handling in this project</t>
  </si>
  <si>
    <t xml:space="preserve">  LDT Field 12 — quantity                                            lineItems[].quantity.value                                         ✅ Confirmed via the real Costco/SPS order cross-validation</t>
  </si>
  <si>
    <t xml:space="preserve">  LDT Field 19 — unit price                                          lineItems[].unitCostPrice                                          ✅ Confirmed via the same cross-validation</t>
  </si>
  <si>
    <t xml:space="preserve">  LDT Field 5/25 (description fields)                                productAttributes.description                                      🟡 Schema notes this can require concatenating multiple source</t>
  </si>
  <si>
    <t xml:space="preserve">                                                                                                                                        fragments for some partners — not yet checked against a real</t>
  </si>
  <si>
    <t xml:space="preserve">                                                                                                                                        multi-fragment example</t>
  </si>
  <si>
    <t>Still open — genuine gaps, not yet resolved</t>
  </si>
  <si>
    <t>1.  references — the schema explicitly warns: “match by the field description… when a partner sends a qualifier whose semantics do not match any subfield description, emit a SCHEMA GAP rather than</t>
  </si>
  <si>
    <t xml:space="preserve">    auto-routing it.” Given how many different REF qualifiers we’ve found across partners (IA, ZZ, DP, 19, YD, AN, L1, OL, VR, MR, PD), each needs individual confirmation against the schema’s</t>
  </si>
  <si>
    <t xml:space="preserve">    reference subfields — not yet done.</t>
  </si>
  <si>
    <t>2.  termsOfSale — rich structure confirmed in the schema (type, basisDate, discount terms, deferred payment), but not yet cross-checked against any real ITD segment from our collected examples.</t>
  </si>
  <si>
    <t>3.  carrierDetails — structure confirmed to exist, not yet mapped against real FOB/TD5 segments collected (e.g. Costco’s FOB*PP*ZZ*NA and TD5*****VENDORS CHOICE).</t>
  </si>
  <si>
    <t>4.  notes — likely where HCM (flat file) and N9/MSG (raw EDI) ultimately land, matching the exact-text cross-validation already confirmed — but the specific subfield structure within notes hasn’t been</t>
  </si>
  <si>
    <t xml:space="preserve">    checked yet.</t>
  </si>
  <si>
    <t>Input 5 — Walmart 850 flat file (pairs structurally with Input 2)</t>
  </si>
  <si>
    <t>First order from NCW.20261013090236.850.txt (Walmart via Aptean). Different PO than Input 2 but same structure; used to confirm FOB, ITD, SAC→HAL and PO1→LDT positions.</t>
  </si>
  <si>
    <t>HDR|20261013|0902|0119469362|925485US00|0119469362|20261013||||20261016||||||||||1.000|0.000||VARIOUS                     ZZ|PP|OR|08|15|15||20|||01-460912900||||</t>
  </si>
  <si>
    <t>HST||0078742069609||||||||</t>
  </si>
  <si>
    <t>HCM|01-460912900|AN</t>
  </si>
  <si>
    <t>HCM|SPECIAL INSTRUCTIONS|L1</t>
  </si>
  <si>
    <t>HCM|NO PRETICKET|</t>
  </si>
  <si>
    <t>HCM|============================================================|</t>
  </si>
  <si>
    <t>HCM|TRUCK#  01 FOR 460912900 ==============================|</t>
  </si>
  <si>
    <t>HCM|==============================|</t>
  </si>
  <si>
    <t>HAL|I410|02||0.0000|0.000||16.50|0.500|0.000|||A</t>
  </si>
  <si>
    <t>LDT|078742352008|575493553|UP|01392|EA|EA|||||27.000|||||||5.0000|||||VN|01392|0|||||</t>
  </si>
  <si>
    <t>LDT|078742352015|575493959|UP|02216|EA|EA|||||54.000|||||||5.0000|||||VN|02216|0|||||</t>
  </si>
  <si>
    <t>LDT|078742006505|575493967|UP|03030|EA|EA|||||27.000|||||||5.0000|||||VN|03030|0|||||</t>
  </si>
  <si>
    <t>LDT|078742351865|575493988|UP|01198|EA|EA|||||264.000|||||||5.0000|||||VN|01198|0|||||</t>
  </si>
  <si>
    <t>LDT|078742351872|575494056|UP|01821|EA|EA|||||192.000|||||||5.0000|||||VN|01821|0|||||</t>
  </si>
  <si>
    <t>LDT|078742351896|575494479|UP|03581|EA|EA|||||24.000|||||||5.0000|||||VN|03581|0|||||</t>
  </si>
  <si>
    <t>LDT|078742351889|575494639|UP|02240|EA|EA|||||48.000|||||||5.0000|||||VN|02240|0|||||</t>
  </si>
  <si>
    <t>LDT|605388187345|575494671|UP|03028|EA|EA|||||24.000|||||||5.0000|||||VN|03028|0|||||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</si>
</sst>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name val="Arial"/>
      <charset val="1"/>
    </font>
    <font>
      <i/>
      <sz val="9"/>
      <name val="Arial"/>
      <charset val="1"/>
    </font>
    <font>
      <b/>
      <sz val="11"/>
      <color rgb="FFFFFFFF"/>
      <name val="Arial"/>
      <charset val="1"/>
    </font>
    <font>
      <sz val="10"/>
      <name val="Arial"/>
      <charset val="1"/>
    </font>
    <font>
      <b/>
      <sz val="11"/>
      <name val="Arial"/>
      <charset val="1"/>
    </font>
    <font>
      <b/>
      <sz val="13"/>
      <name val="Arial"/>
      <charset val="1"/>
    </font>
    <font>
      <b/>
      <sz val="10"/>
      <color rgb="FFFFFFFF"/>
      <name val="Arial"/>
      <charset val="1"/>
    </font>
    <font>
      <b/>
      <sz val="10"/>
      <name val="Arial"/>
      <charset val="1"/>
    </font>
    <font>
      <sz val="9"/>
      <name val="Courier New"/>
      <charset val="1"/>
    </font>
  </fonts>
  <fills count="6">
    <fill>
      <patternFill patternType="none"/>
    </fill>
    <fill>
      <patternFill patternType="gray125"/>
    </fill>
    <fill>
      <patternFill patternType="solid">
        <fgColor rgb="FF1F3A5F"/>
        <bgColor rgb="FF333333"/>
      </patternFill>
    </fill>
    <fill>
      <patternFill patternType="solid">
        <fgColor rgb="FFE2F0D9"/>
        <bgColor rgb="FFFFF4D6"/>
      </patternFill>
    </fill>
    <fill>
      <patternFill patternType="solid">
        <fgColor rgb="FFFCE4E4"/>
        <bgColor rgb="FFFFF4D6"/>
      </patternFill>
    </fill>
    <fill>
      <patternFill patternType="solid">
        <fgColor rgb="FFFFF4D6"/>
        <bgColor rgb="FFFCE4E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9" fillId="0" borderId="0" xfId="0" applyFont="1"/>
    <xf numFmtId="0" fontId="1" fillId="0" borderId="0" xfId="0" applyFont="1"/>
    <xf numFmtId="0" fontId="2" fillId="0" borderId="0" xfId="0" applyFont="1"/>
    <xf numFmtId="0" fontId="3" fillId="2" borderId="1" xfId="0" applyFont="1" applyFill="1" applyBorder="1"/>
    <xf numFmtId="0" fontId="4" fillId="0" borderId="1" xfId="0" applyFont="1" applyBorder="1" applyAlignment="1">
      <alignment vertical="top" wrapText="1"/>
    </xf>
    <xf numFmtId="9" fontId="4" fillId="0" borderId="1" xfId="0" applyNumberFormat="1" applyFont="1" applyBorder="1" applyAlignment="1">
      <alignment vertical="top" wrapText="1"/>
    </xf>
    <xf numFmtId="0" fontId="5" fillId="0" borderId="0" xfId="0" applyFont="1"/>
    <xf numFmtId="0" fontId="4" fillId="0" borderId="0" xfId="0" applyFont="1"/>
    <xf numFmtId="0" fontId="6" fillId="0" borderId="0" xfId="0" applyFont="1"/>
    <xf numFmtId="0" fontId="3" fillId="2" borderId="1" xfId="0" applyFont="1" applyFill="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2" fillId="5" borderId="0" xfId="0" applyFont="1" applyFill="1"/>
    <xf numFmtId="0" fontId="7" fillId="2"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zoomScaleNormal="100" workbookViewId="0"/>
  </sheetViews>
  <sheetFormatPr defaultColWidth="8.6328125" defaultRowHeight="14.5" x14ac:dyDescent="0.35"/>
  <cols>
    <col min="1" max="1" width="22" customWidth="1"/>
    <col min="2" max="2" width="40" customWidth="1"/>
    <col min="3" max="3" width="8" customWidth="1"/>
    <col min="4" max="5" width="10" customWidth="1"/>
    <col min="6" max="6" width="8" customWidth="1"/>
    <col min="7" max="7" width="10" customWidth="1"/>
  </cols>
  <sheetData>
    <row r="1" spans="1:7" ht="17.25" customHeight="1" x14ac:dyDescent="0.4">
      <c r="A1" s="2" t="s">
        <v>0</v>
      </c>
    </row>
    <row r="2" spans="1:7" ht="15" customHeight="1" x14ac:dyDescent="0.35">
      <c r="A2" s="3" t="s">
        <v>1</v>
      </c>
    </row>
    <row r="4" spans="1:7" ht="15" customHeight="1" x14ac:dyDescent="0.35">
      <c r="A4" s="4" t="s">
        <v>2</v>
      </c>
      <c r="B4" s="4" t="s">
        <v>3</v>
      </c>
      <c r="C4" s="4" t="s">
        <v>4</v>
      </c>
      <c r="D4" s="4" t="s">
        <v>5</v>
      </c>
      <c r="E4" s="4" t="s">
        <v>6</v>
      </c>
      <c r="F4" s="4" t="s">
        <v>7</v>
      </c>
      <c r="G4" s="4" t="s">
        <v>8</v>
      </c>
    </row>
    <row r="5" spans="1:7" ht="15" customHeight="1" x14ac:dyDescent="0.35">
      <c r="A5" s="5" t="s">
        <v>9</v>
      </c>
      <c r="B5" s="5" t="s">
        <v>10</v>
      </c>
      <c r="C5" s="5">
        <f>COUNTA('850 Mapping'!A5:A60)</f>
        <v>56</v>
      </c>
      <c r="D5" s="5">
        <f>COUNTIF('850 Mapping'!G5:G60,"✅*")</f>
        <v>23</v>
      </c>
      <c r="E5" s="5">
        <f>COUNTIF('850 Mapping'!G5:G60,"🟡*")</f>
        <v>27</v>
      </c>
      <c r="F5" s="5">
        <f>COUNTIF('850 Mapping'!G5:G60,"❓*")</f>
        <v>6</v>
      </c>
      <c r="G5" s="6">
        <f>IF(C5=0,0,(D5+E5)/C5)</f>
        <v>0.8928571428571429</v>
      </c>
    </row>
    <row r="6" spans="1:7" ht="15" customHeight="1" x14ac:dyDescent="0.35">
      <c r="A6" s="5" t="s">
        <v>11</v>
      </c>
      <c r="B6" s="5" t="s">
        <v>12</v>
      </c>
      <c r="C6" s="5">
        <f>COUNTA('810 Mapping'!A5:A53)</f>
        <v>49</v>
      </c>
      <c r="D6" s="5">
        <f>COUNTIF('810 Mapping'!G5:G53,"✅*")</f>
        <v>24</v>
      </c>
      <c r="E6" s="5">
        <f>COUNTIF('810 Mapping'!G5:G53,"🟡*")</f>
        <v>18</v>
      </c>
      <c r="F6" s="5">
        <f>COUNTIF('810 Mapping'!G5:G53,"❓*")</f>
        <v>7</v>
      </c>
      <c r="G6" s="6">
        <f>IF(C6=0,0,(D6+E6)/C6)</f>
        <v>0.8571428571428571</v>
      </c>
    </row>
    <row r="7" spans="1:7" ht="15" customHeight="1" x14ac:dyDescent="0.35">
      <c r="A7" s="5" t="s">
        <v>13</v>
      </c>
      <c r="B7" s="5" t="s">
        <v>14</v>
      </c>
      <c r="C7" s="5">
        <f>COUNTA('856 Mapping'!A5:A40)</f>
        <v>36</v>
      </c>
      <c r="D7" s="5">
        <f>COUNTIF('856 Mapping'!G5:G40,"✅*")</f>
        <v>17</v>
      </c>
      <c r="E7" s="5">
        <f>COUNTIF('856 Mapping'!G5:G40,"🟡*")</f>
        <v>10</v>
      </c>
      <c r="F7" s="5">
        <f>COUNTIF('856 Mapping'!G5:G40,"❓*")</f>
        <v>9</v>
      </c>
      <c r="G7" s="6">
        <f>IF(C7=0,0,(D7+E7)/C7)</f>
        <v>0.75</v>
      </c>
    </row>
    <row r="10" spans="1:7" x14ac:dyDescent="0.35">
      <c r="A10" s="7" t="s">
        <v>15</v>
      </c>
    </row>
    <row r="11" spans="1:7" x14ac:dyDescent="0.35">
      <c r="A11" s="8" t="s">
        <v>16</v>
      </c>
    </row>
    <row r="12" spans="1:7" x14ac:dyDescent="0.35">
      <c r="A12" s="8" t="s">
        <v>17</v>
      </c>
    </row>
    <row r="13" spans="1:7" x14ac:dyDescent="0.35">
      <c r="A13" s="8" t="s">
        <v>18</v>
      </c>
    </row>
    <row r="14" spans="1:7" x14ac:dyDescent="0.35">
      <c r="A14" s="8" t="s">
        <v>19</v>
      </c>
    </row>
    <row r="15" spans="1:7" x14ac:dyDescent="0.35">
      <c r="A15" s="8"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0"/>
  <sheetViews>
    <sheetView zoomScaleNormal="100" workbookViewId="0">
      <pane ySplit="4" topLeftCell="A5" activePane="bottomLeft" state="frozen"/>
      <selection pane="bottomLeft"/>
    </sheetView>
  </sheetViews>
  <sheetFormatPr defaultColWidth="8.6328125" defaultRowHeight="14.5" x14ac:dyDescent="0.35"/>
  <cols>
    <col min="1" max="1" width="10" customWidth="1"/>
    <col min="2" max="2" width="8" customWidth="1"/>
    <col min="3" max="3" width="34" customWidth="1"/>
    <col min="4" max="4" width="30" customWidth="1"/>
    <col min="5" max="6" width="26" customWidth="1"/>
    <col min="7" max="7" width="13" customWidth="1"/>
    <col min="8" max="8" width="46" customWidth="1"/>
  </cols>
  <sheetData>
    <row r="1" spans="1:8" ht="15.75" customHeight="1" x14ac:dyDescent="0.35">
      <c r="A1" s="9" t="s">
        <v>21</v>
      </c>
    </row>
    <row r="2" spans="1:8" ht="15" customHeight="1" x14ac:dyDescent="0.35">
      <c r="A2" s="3" t="s">
        <v>22</v>
      </c>
    </row>
    <row r="4" spans="1:8" ht="15" customHeight="1" x14ac:dyDescent="0.35">
      <c r="A4" s="10" t="s">
        <v>23</v>
      </c>
      <c r="B4" s="10" t="s">
        <v>24</v>
      </c>
      <c r="C4" s="10" t="s">
        <v>25</v>
      </c>
      <c r="D4" s="10" t="s">
        <v>26</v>
      </c>
      <c r="E4" s="10" t="s">
        <v>27</v>
      </c>
      <c r="F4" s="10" t="s">
        <v>28</v>
      </c>
      <c r="G4" s="10" t="s">
        <v>29</v>
      </c>
      <c r="H4" s="10" t="s">
        <v>30</v>
      </c>
    </row>
    <row r="5" spans="1:8" ht="23.25" customHeight="1" x14ac:dyDescent="0.35">
      <c r="A5" s="5" t="s">
        <v>31</v>
      </c>
      <c r="B5" s="5" t="s">
        <v>32</v>
      </c>
      <c r="C5" s="5" t="s">
        <v>33</v>
      </c>
      <c r="D5" s="5" t="s">
        <v>34</v>
      </c>
      <c r="E5" s="5" t="s">
        <v>32</v>
      </c>
      <c r="F5" s="5" t="s">
        <v>35</v>
      </c>
      <c r="G5" s="11" t="s">
        <v>36</v>
      </c>
      <c r="H5" s="5" t="s">
        <v>37</v>
      </c>
    </row>
    <row r="6" spans="1:8" ht="34.5" customHeight="1" x14ac:dyDescent="0.35">
      <c r="A6" s="5" t="s">
        <v>31</v>
      </c>
      <c r="B6" s="5" t="s">
        <v>38</v>
      </c>
      <c r="C6" s="5" t="s">
        <v>39</v>
      </c>
      <c r="D6" s="5" t="s">
        <v>32</v>
      </c>
      <c r="E6" s="5" t="s">
        <v>32</v>
      </c>
      <c r="F6" s="5" t="s">
        <v>40</v>
      </c>
      <c r="G6" s="12" t="s">
        <v>41</v>
      </c>
      <c r="H6" s="5" t="s">
        <v>42</v>
      </c>
    </row>
    <row r="7" spans="1:8" ht="15" customHeight="1" x14ac:dyDescent="0.35">
      <c r="A7" s="5" t="s">
        <v>43</v>
      </c>
      <c r="B7" s="5" t="s">
        <v>44</v>
      </c>
      <c r="C7" s="5" t="s">
        <v>45</v>
      </c>
      <c r="D7" s="5" t="s">
        <v>32</v>
      </c>
      <c r="E7" s="5" t="s">
        <v>32</v>
      </c>
      <c r="F7" s="5" t="s">
        <v>43</v>
      </c>
      <c r="G7" s="11" t="s">
        <v>36</v>
      </c>
      <c r="H7" s="5" t="s">
        <v>46</v>
      </c>
    </row>
    <row r="8" spans="1:8" ht="23.25" customHeight="1" x14ac:dyDescent="0.35">
      <c r="A8" s="5" t="s">
        <v>43</v>
      </c>
      <c r="B8" s="5" t="s">
        <v>47</v>
      </c>
      <c r="C8" s="5" t="s">
        <v>48</v>
      </c>
      <c r="D8" s="5" t="s">
        <v>49</v>
      </c>
      <c r="E8" s="5" t="s">
        <v>50</v>
      </c>
      <c r="F8" s="5" t="s">
        <v>51</v>
      </c>
      <c r="G8" s="13" t="s">
        <v>52</v>
      </c>
      <c r="H8" s="5" t="s">
        <v>53</v>
      </c>
    </row>
    <row r="9" spans="1:8" ht="15" customHeight="1" x14ac:dyDescent="0.35">
      <c r="A9" s="5" t="s">
        <v>43</v>
      </c>
      <c r="B9" s="5" t="s">
        <v>54</v>
      </c>
      <c r="C9" s="5" t="s">
        <v>55</v>
      </c>
      <c r="D9" s="5" t="s">
        <v>56</v>
      </c>
      <c r="E9" s="5" t="s">
        <v>32</v>
      </c>
      <c r="F9" s="5" t="s">
        <v>57</v>
      </c>
      <c r="G9" s="13" t="s">
        <v>52</v>
      </c>
      <c r="H9" s="5" t="s">
        <v>58</v>
      </c>
    </row>
    <row r="10" spans="1:8" ht="23.25" customHeight="1" x14ac:dyDescent="0.35">
      <c r="A10" s="5" t="s">
        <v>43</v>
      </c>
      <c r="B10" s="5" t="s">
        <v>59</v>
      </c>
      <c r="C10" s="5" t="s">
        <v>60</v>
      </c>
      <c r="D10" s="5" t="s">
        <v>61</v>
      </c>
      <c r="E10" s="5" t="s">
        <v>62</v>
      </c>
      <c r="F10" s="5" t="s">
        <v>63</v>
      </c>
      <c r="G10" s="11" t="s">
        <v>36</v>
      </c>
      <c r="H10" s="5" t="s">
        <v>64</v>
      </c>
    </row>
    <row r="11" spans="1:8" ht="23.25" customHeight="1" x14ac:dyDescent="0.35">
      <c r="A11" s="5" t="s">
        <v>43</v>
      </c>
      <c r="B11" s="5" t="s">
        <v>65</v>
      </c>
      <c r="C11" s="5" t="s">
        <v>66</v>
      </c>
      <c r="D11" s="5" t="s">
        <v>67</v>
      </c>
      <c r="E11" s="5" t="s">
        <v>68</v>
      </c>
      <c r="F11" s="5" t="s">
        <v>69</v>
      </c>
      <c r="G11" s="11" t="s">
        <v>36</v>
      </c>
      <c r="H11" s="5" t="s">
        <v>70</v>
      </c>
    </row>
    <row r="12" spans="1:8" ht="23.25" customHeight="1" x14ac:dyDescent="0.35">
      <c r="A12" s="5" t="s">
        <v>43</v>
      </c>
      <c r="B12" s="5" t="s">
        <v>71</v>
      </c>
      <c r="C12" s="5" t="s">
        <v>72</v>
      </c>
      <c r="D12" s="5" t="s">
        <v>73</v>
      </c>
      <c r="E12" s="5" t="s">
        <v>32</v>
      </c>
      <c r="F12" s="5" t="s">
        <v>63</v>
      </c>
      <c r="G12" s="13" t="s">
        <v>52</v>
      </c>
      <c r="H12" s="5" t="s">
        <v>74</v>
      </c>
    </row>
    <row r="13" spans="1:8" ht="23.25" customHeight="1" x14ac:dyDescent="0.35">
      <c r="A13" s="5" t="s">
        <v>43</v>
      </c>
      <c r="B13" s="5" t="s">
        <v>75</v>
      </c>
      <c r="C13" s="5" t="s">
        <v>76</v>
      </c>
      <c r="D13" s="5" t="s">
        <v>77</v>
      </c>
      <c r="E13" s="5" t="s">
        <v>78</v>
      </c>
      <c r="F13" s="5" t="s">
        <v>51</v>
      </c>
      <c r="G13" s="13" t="s">
        <v>52</v>
      </c>
      <c r="H13" s="5" t="s">
        <v>79</v>
      </c>
    </row>
    <row r="14" spans="1:8" ht="15" customHeight="1" x14ac:dyDescent="0.35">
      <c r="A14" s="5" t="s">
        <v>43</v>
      </c>
      <c r="B14" s="5" t="s">
        <v>80</v>
      </c>
      <c r="C14" s="5" t="s">
        <v>81</v>
      </c>
      <c r="D14" s="5" t="s">
        <v>32</v>
      </c>
      <c r="E14" s="5" t="s">
        <v>32</v>
      </c>
      <c r="F14" s="5" t="s">
        <v>82</v>
      </c>
      <c r="G14" s="12" t="s">
        <v>41</v>
      </c>
      <c r="H14" s="5" t="s">
        <v>83</v>
      </c>
    </row>
    <row r="15" spans="1:8" ht="23.25" customHeight="1" x14ac:dyDescent="0.35">
      <c r="A15" s="5" t="s">
        <v>43</v>
      </c>
      <c r="B15" s="5" t="s">
        <v>84</v>
      </c>
      <c r="C15" s="5" t="s">
        <v>85</v>
      </c>
      <c r="D15" s="5" t="s">
        <v>86</v>
      </c>
      <c r="E15" s="5" t="s">
        <v>87</v>
      </c>
      <c r="F15" s="5" t="s">
        <v>88</v>
      </c>
      <c r="G15" s="13" t="s">
        <v>52</v>
      </c>
      <c r="H15" s="5" t="s">
        <v>89</v>
      </c>
    </row>
    <row r="16" spans="1:8" ht="15" customHeight="1" x14ac:dyDescent="0.35">
      <c r="A16" s="5" t="s">
        <v>43</v>
      </c>
      <c r="B16" s="5" t="s">
        <v>90</v>
      </c>
      <c r="C16" s="5" t="s">
        <v>81</v>
      </c>
      <c r="D16" s="5" t="s">
        <v>32</v>
      </c>
      <c r="E16" s="5" t="s">
        <v>32</v>
      </c>
      <c r="F16" s="5" t="s">
        <v>82</v>
      </c>
      <c r="G16" s="12" t="s">
        <v>41</v>
      </c>
      <c r="H16" s="5"/>
    </row>
    <row r="17" spans="1:8" ht="15" customHeight="1" x14ac:dyDescent="0.35">
      <c r="A17" s="5" t="s">
        <v>43</v>
      </c>
      <c r="B17" s="5" t="s">
        <v>91</v>
      </c>
      <c r="C17" s="5" t="s">
        <v>92</v>
      </c>
      <c r="D17" s="5" t="s">
        <v>93</v>
      </c>
      <c r="E17" s="5" t="s">
        <v>94</v>
      </c>
      <c r="F17" s="5" t="s">
        <v>95</v>
      </c>
      <c r="G17" s="13" t="s">
        <v>52</v>
      </c>
      <c r="H17" s="5" t="s">
        <v>96</v>
      </c>
    </row>
    <row r="18" spans="1:8" ht="15" customHeight="1" x14ac:dyDescent="0.35">
      <c r="A18" s="5" t="s">
        <v>43</v>
      </c>
      <c r="B18" s="5" t="s">
        <v>97</v>
      </c>
      <c r="C18" s="5" t="s">
        <v>98</v>
      </c>
      <c r="D18" s="5" t="s">
        <v>99</v>
      </c>
      <c r="E18" s="5" t="s">
        <v>100</v>
      </c>
      <c r="F18" s="5" t="s">
        <v>95</v>
      </c>
      <c r="G18" s="13" t="s">
        <v>52</v>
      </c>
      <c r="H18" s="5"/>
    </row>
    <row r="19" spans="1:8" ht="23.25" customHeight="1" x14ac:dyDescent="0.35">
      <c r="A19" s="5" t="s">
        <v>43</v>
      </c>
      <c r="B19" s="5" t="s">
        <v>101</v>
      </c>
      <c r="C19" s="5" t="s">
        <v>102</v>
      </c>
      <c r="D19" s="5" t="s">
        <v>103</v>
      </c>
      <c r="E19" s="5" t="s">
        <v>104</v>
      </c>
      <c r="F19" s="5" t="s">
        <v>105</v>
      </c>
      <c r="G19" s="11" t="s">
        <v>36</v>
      </c>
      <c r="H19" s="5" t="s">
        <v>106</v>
      </c>
    </row>
    <row r="20" spans="1:8" ht="15" customHeight="1" x14ac:dyDescent="0.35">
      <c r="A20" s="5" t="s">
        <v>43</v>
      </c>
      <c r="B20" s="5" t="s">
        <v>107</v>
      </c>
      <c r="C20" s="5" t="s">
        <v>108</v>
      </c>
      <c r="D20" s="5" t="s">
        <v>109</v>
      </c>
      <c r="E20" s="5" t="s">
        <v>104</v>
      </c>
      <c r="F20" s="5" t="s">
        <v>110</v>
      </c>
      <c r="G20" s="11" t="s">
        <v>36</v>
      </c>
      <c r="H20" s="5"/>
    </row>
    <row r="21" spans="1:8" ht="15" customHeight="1" x14ac:dyDescent="0.35">
      <c r="A21" s="5" t="s">
        <v>43</v>
      </c>
      <c r="B21" s="5" t="s">
        <v>111</v>
      </c>
      <c r="C21" s="5" t="s">
        <v>112</v>
      </c>
      <c r="D21" s="5" t="s">
        <v>113</v>
      </c>
      <c r="E21" s="5" t="s">
        <v>104</v>
      </c>
      <c r="F21" s="5" t="s">
        <v>114</v>
      </c>
      <c r="G21" s="11" t="s">
        <v>36</v>
      </c>
      <c r="H21" s="5"/>
    </row>
    <row r="22" spans="1:8" ht="15" customHeight="1" x14ac:dyDescent="0.35">
      <c r="A22" s="5" t="s">
        <v>43</v>
      </c>
      <c r="B22" s="5" t="s">
        <v>115</v>
      </c>
      <c r="C22" s="5" t="s">
        <v>116</v>
      </c>
      <c r="D22" s="5" t="s">
        <v>117</v>
      </c>
      <c r="E22" s="5" t="s">
        <v>118</v>
      </c>
      <c r="F22" s="5" t="s">
        <v>119</v>
      </c>
      <c r="G22" s="13" t="s">
        <v>52</v>
      </c>
      <c r="H22" s="5" t="s">
        <v>120</v>
      </c>
    </row>
    <row r="23" spans="1:8" ht="15" customHeight="1" x14ac:dyDescent="0.35">
      <c r="A23" s="5" t="s">
        <v>43</v>
      </c>
      <c r="B23" s="5" t="s">
        <v>121</v>
      </c>
      <c r="C23" s="5" t="s">
        <v>122</v>
      </c>
      <c r="D23" s="5" t="s">
        <v>123</v>
      </c>
      <c r="E23" s="5" t="s">
        <v>124</v>
      </c>
      <c r="F23" s="5" t="s">
        <v>47</v>
      </c>
      <c r="G23" s="13" t="s">
        <v>52</v>
      </c>
      <c r="H23" s="5" t="s">
        <v>125</v>
      </c>
    </row>
    <row r="24" spans="1:8" ht="15" customHeight="1" x14ac:dyDescent="0.35">
      <c r="A24" s="5" t="s">
        <v>43</v>
      </c>
      <c r="B24" s="5" t="s">
        <v>126</v>
      </c>
      <c r="C24" s="5" t="s">
        <v>127</v>
      </c>
      <c r="D24" s="5" t="s">
        <v>128</v>
      </c>
      <c r="E24" s="5" t="s">
        <v>100</v>
      </c>
      <c r="F24" s="5" t="s">
        <v>129</v>
      </c>
      <c r="G24" s="13" t="s">
        <v>52</v>
      </c>
      <c r="H24" s="5" t="s">
        <v>130</v>
      </c>
    </row>
    <row r="25" spans="1:8" ht="15" customHeight="1" x14ac:dyDescent="0.35">
      <c r="A25" s="5" t="s">
        <v>43</v>
      </c>
      <c r="B25" s="5" t="s">
        <v>131</v>
      </c>
      <c r="C25" s="5" t="s">
        <v>132</v>
      </c>
      <c r="D25" s="5" t="s">
        <v>133</v>
      </c>
      <c r="E25" s="5" t="s">
        <v>100</v>
      </c>
      <c r="F25" s="5" t="s">
        <v>82</v>
      </c>
      <c r="G25" s="13" t="s">
        <v>52</v>
      </c>
      <c r="H25" s="5"/>
    </row>
    <row r="26" spans="1:8" ht="15" customHeight="1" x14ac:dyDescent="0.35">
      <c r="A26" s="5" t="s">
        <v>43</v>
      </c>
      <c r="B26" s="5" t="s">
        <v>134</v>
      </c>
      <c r="C26" s="5" t="s">
        <v>135</v>
      </c>
      <c r="D26" s="5" t="s">
        <v>136</v>
      </c>
      <c r="E26" s="5" t="s">
        <v>100</v>
      </c>
      <c r="F26" s="5" t="s">
        <v>137</v>
      </c>
      <c r="G26" s="13" t="s">
        <v>52</v>
      </c>
      <c r="H26" s="5" t="s">
        <v>138</v>
      </c>
    </row>
    <row r="27" spans="1:8" ht="23.25" customHeight="1" x14ac:dyDescent="0.35">
      <c r="A27" s="5" t="s">
        <v>43</v>
      </c>
      <c r="B27" s="5" t="s">
        <v>139</v>
      </c>
      <c r="C27" s="5" t="s">
        <v>140</v>
      </c>
      <c r="D27" s="5" t="s">
        <v>141</v>
      </c>
      <c r="E27" s="5" t="s">
        <v>142</v>
      </c>
      <c r="F27" s="5" t="s">
        <v>143</v>
      </c>
      <c r="G27" s="12" t="s">
        <v>41</v>
      </c>
      <c r="H27" s="5" t="s">
        <v>144</v>
      </c>
    </row>
    <row r="28" spans="1:8" ht="15" customHeight="1" x14ac:dyDescent="0.35">
      <c r="A28" s="5" t="s">
        <v>145</v>
      </c>
      <c r="B28" s="5" t="s">
        <v>44</v>
      </c>
      <c r="C28" s="5" t="s">
        <v>45</v>
      </c>
      <c r="D28" s="5" t="s">
        <v>32</v>
      </c>
      <c r="E28" s="5" t="s">
        <v>32</v>
      </c>
      <c r="F28" s="5" t="s">
        <v>145</v>
      </c>
      <c r="G28" s="11" t="s">
        <v>36</v>
      </c>
      <c r="H28" s="5"/>
    </row>
    <row r="29" spans="1:8" ht="15" customHeight="1" x14ac:dyDescent="0.35">
      <c r="A29" s="5" t="s">
        <v>145</v>
      </c>
      <c r="B29" s="5" t="s">
        <v>47</v>
      </c>
      <c r="C29" s="5" t="s">
        <v>146</v>
      </c>
      <c r="D29" s="5" t="s">
        <v>32</v>
      </c>
      <c r="E29" s="5" t="s">
        <v>32</v>
      </c>
      <c r="F29" s="5" t="s">
        <v>82</v>
      </c>
      <c r="G29" s="12" t="s">
        <v>41</v>
      </c>
      <c r="H29" s="5"/>
    </row>
    <row r="30" spans="1:8" ht="23.25" customHeight="1" x14ac:dyDescent="0.35">
      <c r="A30" s="5" t="s">
        <v>145</v>
      </c>
      <c r="B30" s="5" t="s">
        <v>54</v>
      </c>
      <c r="C30" s="5" t="s">
        <v>147</v>
      </c>
      <c r="D30" s="5" t="s">
        <v>148</v>
      </c>
      <c r="E30" s="5" t="s">
        <v>149</v>
      </c>
      <c r="F30" s="5" t="s">
        <v>150</v>
      </c>
      <c r="G30" s="11" t="s">
        <v>36</v>
      </c>
      <c r="H30" s="5" t="s">
        <v>151</v>
      </c>
    </row>
    <row r="31" spans="1:8" ht="23.25" customHeight="1" x14ac:dyDescent="0.35">
      <c r="A31" s="5" t="s">
        <v>145</v>
      </c>
      <c r="B31" s="5" t="s">
        <v>59</v>
      </c>
      <c r="C31" s="5" t="s">
        <v>152</v>
      </c>
      <c r="D31" s="5" t="s">
        <v>153</v>
      </c>
      <c r="E31" s="5" t="s">
        <v>154</v>
      </c>
      <c r="F31" s="5" t="s">
        <v>155</v>
      </c>
      <c r="G31" s="11" t="s">
        <v>36</v>
      </c>
      <c r="H31" s="5" t="s">
        <v>156</v>
      </c>
    </row>
    <row r="32" spans="1:8" ht="23.25" customHeight="1" x14ac:dyDescent="0.35">
      <c r="A32" s="5" t="s">
        <v>145</v>
      </c>
      <c r="B32" s="5" t="s">
        <v>65</v>
      </c>
      <c r="C32" s="5" t="s">
        <v>157</v>
      </c>
      <c r="D32" s="5" t="s">
        <v>158</v>
      </c>
      <c r="E32" s="5" t="s">
        <v>159</v>
      </c>
      <c r="F32" s="5" t="s">
        <v>160</v>
      </c>
      <c r="G32" s="11" t="s">
        <v>36</v>
      </c>
      <c r="H32" s="5"/>
    </row>
    <row r="33" spans="1:8" ht="15" customHeight="1" x14ac:dyDescent="0.35">
      <c r="A33" s="5" t="s">
        <v>145</v>
      </c>
      <c r="B33" s="5" t="s">
        <v>71</v>
      </c>
      <c r="C33" s="5" t="s">
        <v>161</v>
      </c>
      <c r="D33" s="5" t="s">
        <v>162</v>
      </c>
      <c r="E33" s="5" t="s">
        <v>163</v>
      </c>
      <c r="F33" s="5" t="s">
        <v>82</v>
      </c>
      <c r="G33" s="13" t="s">
        <v>52</v>
      </c>
      <c r="H33" s="5"/>
    </row>
    <row r="34" spans="1:8" ht="15" customHeight="1" x14ac:dyDescent="0.35">
      <c r="A34" s="5" t="s">
        <v>145</v>
      </c>
      <c r="B34" s="5" t="s">
        <v>75</v>
      </c>
      <c r="C34" s="5" t="s">
        <v>164</v>
      </c>
      <c r="D34" s="5" t="s">
        <v>165</v>
      </c>
      <c r="E34" s="5" t="s">
        <v>166</v>
      </c>
      <c r="F34" s="5" t="s">
        <v>167</v>
      </c>
      <c r="G34" s="11" t="s">
        <v>36</v>
      </c>
      <c r="H34" s="5"/>
    </row>
    <row r="35" spans="1:8" ht="23.25" customHeight="1" x14ac:dyDescent="0.35">
      <c r="A35" s="5" t="s">
        <v>145</v>
      </c>
      <c r="B35" s="5" t="s">
        <v>168</v>
      </c>
      <c r="C35" s="5" t="s">
        <v>169</v>
      </c>
      <c r="D35" s="5" t="s">
        <v>170</v>
      </c>
      <c r="E35" s="5" t="s">
        <v>171</v>
      </c>
      <c r="F35" s="5" t="s">
        <v>172</v>
      </c>
      <c r="G35" s="11" t="s">
        <v>36</v>
      </c>
      <c r="H35" s="5"/>
    </row>
    <row r="36" spans="1:8" ht="15" customHeight="1" x14ac:dyDescent="0.35">
      <c r="A36" s="5" t="s">
        <v>145</v>
      </c>
      <c r="B36" s="5" t="s">
        <v>173</v>
      </c>
      <c r="C36" s="5" t="s">
        <v>174</v>
      </c>
      <c r="D36" s="5" t="s">
        <v>175</v>
      </c>
      <c r="E36" s="5" t="s">
        <v>176</v>
      </c>
      <c r="F36" s="5" t="s">
        <v>177</v>
      </c>
      <c r="G36" s="11" t="s">
        <v>36</v>
      </c>
      <c r="H36" s="5"/>
    </row>
    <row r="37" spans="1:8" ht="15" customHeight="1" x14ac:dyDescent="0.35">
      <c r="A37" s="5" t="s">
        <v>145</v>
      </c>
      <c r="B37" s="5" t="s">
        <v>178</v>
      </c>
      <c r="C37" s="5" t="s">
        <v>179</v>
      </c>
      <c r="D37" s="5" t="s">
        <v>180</v>
      </c>
      <c r="E37" s="5" t="s">
        <v>181</v>
      </c>
      <c r="F37" s="5" t="s">
        <v>82</v>
      </c>
      <c r="G37" s="13" t="s">
        <v>52</v>
      </c>
      <c r="H37" s="5"/>
    </row>
    <row r="38" spans="1:8" ht="15" customHeight="1" x14ac:dyDescent="0.35">
      <c r="A38" s="5" t="s">
        <v>182</v>
      </c>
      <c r="B38" s="5" t="s">
        <v>183</v>
      </c>
      <c r="C38" s="5" t="s">
        <v>184</v>
      </c>
      <c r="D38" s="5" t="s">
        <v>185</v>
      </c>
      <c r="E38" s="5" t="s">
        <v>186</v>
      </c>
      <c r="F38" s="5" t="s">
        <v>187</v>
      </c>
      <c r="G38" s="11" t="s">
        <v>36</v>
      </c>
      <c r="H38" s="5" t="s">
        <v>188</v>
      </c>
    </row>
    <row r="39" spans="1:8" ht="34.5" customHeight="1" x14ac:dyDescent="0.35">
      <c r="A39" s="5" t="s">
        <v>189</v>
      </c>
      <c r="B39" s="5" t="s">
        <v>47</v>
      </c>
      <c r="C39" s="5" t="s">
        <v>190</v>
      </c>
      <c r="D39" s="5" t="s">
        <v>191</v>
      </c>
      <c r="E39" s="5" t="s">
        <v>192</v>
      </c>
      <c r="F39" s="5" t="s">
        <v>193</v>
      </c>
      <c r="G39" s="11" t="s">
        <v>36</v>
      </c>
      <c r="H39" s="5" t="s">
        <v>194</v>
      </c>
    </row>
    <row r="40" spans="1:8" ht="15" customHeight="1" x14ac:dyDescent="0.35">
      <c r="A40" s="5" t="s">
        <v>189</v>
      </c>
      <c r="B40" s="5" t="s">
        <v>54</v>
      </c>
      <c r="C40" s="5" t="s">
        <v>195</v>
      </c>
      <c r="D40" s="5" t="s">
        <v>196</v>
      </c>
      <c r="E40" s="5" t="s">
        <v>32</v>
      </c>
      <c r="F40" s="5" t="s">
        <v>197</v>
      </c>
      <c r="G40" s="13" t="s">
        <v>52</v>
      </c>
      <c r="H40" s="5" t="s">
        <v>198</v>
      </c>
    </row>
    <row r="41" spans="1:8" ht="15" customHeight="1" x14ac:dyDescent="0.35">
      <c r="A41" s="5" t="s">
        <v>199</v>
      </c>
      <c r="B41" s="5" t="s">
        <v>47</v>
      </c>
      <c r="C41" s="5" t="s">
        <v>200</v>
      </c>
      <c r="D41" s="5" t="s">
        <v>201</v>
      </c>
      <c r="E41" s="5" t="s">
        <v>202</v>
      </c>
      <c r="F41" s="5" t="s">
        <v>203</v>
      </c>
      <c r="G41" s="13" t="s">
        <v>52</v>
      </c>
      <c r="H41" s="5" t="s">
        <v>204</v>
      </c>
    </row>
    <row r="42" spans="1:8" ht="15" customHeight="1" x14ac:dyDescent="0.35">
      <c r="A42" s="5" t="s">
        <v>199</v>
      </c>
      <c r="B42" s="5" t="s">
        <v>54</v>
      </c>
      <c r="C42" s="5" t="s">
        <v>205</v>
      </c>
      <c r="D42" s="5" t="s">
        <v>206</v>
      </c>
      <c r="E42" s="5" t="s">
        <v>32</v>
      </c>
      <c r="F42" s="5"/>
      <c r="G42" s="13" t="s">
        <v>52</v>
      </c>
      <c r="H42" s="5" t="s">
        <v>207</v>
      </c>
    </row>
    <row r="43" spans="1:8" ht="15" customHeight="1" x14ac:dyDescent="0.35">
      <c r="A43" s="5" t="s">
        <v>199</v>
      </c>
      <c r="B43" s="5" t="s">
        <v>168</v>
      </c>
      <c r="C43" s="5" t="s">
        <v>208</v>
      </c>
      <c r="D43" s="5" t="s">
        <v>209</v>
      </c>
      <c r="E43" s="5" t="s">
        <v>210</v>
      </c>
      <c r="F43" s="5"/>
      <c r="G43" s="13" t="s">
        <v>52</v>
      </c>
      <c r="H43" s="5"/>
    </row>
    <row r="44" spans="1:8" ht="15" customHeight="1" x14ac:dyDescent="0.35">
      <c r="A44" s="5" t="s">
        <v>199</v>
      </c>
      <c r="B44" s="5" t="s">
        <v>173</v>
      </c>
      <c r="C44" s="5" t="s">
        <v>211</v>
      </c>
      <c r="D44" s="5" t="s">
        <v>212</v>
      </c>
      <c r="E44" s="5" t="s">
        <v>32</v>
      </c>
      <c r="F44" s="5"/>
      <c r="G44" s="13" t="s">
        <v>52</v>
      </c>
      <c r="H44" s="5" t="s">
        <v>213</v>
      </c>
    </row>
    <row r="45" spans="1:8" ht="15" customHeight="1" x14ac:dyDescent="0.35">
      <c r="A45" s="5" t="s">
        <v>199</v>
      </c>
      <c r="B45" s="5" t="s">
        <v>214</v>
      </c>
      <c r="C45" s="5" t="s">
        <v>215</v>
      </c>
      <c r="D45" s="5" t="s">
        <v>216</v>
      </c>
      <c r="E45" s="5" t="s">
        <v>217</v>
      </c>
      <c r="F45" s="5"/>
      <c r="G45" s="13" t="s">
        <v>52</v>
      </c>
      <c r="H45" s="5"/>
    </row>
    <row r="46" spans="1:8" ht="15" customHeight="1" x14ac:dyDescent="0.35">
      <c r="A46" s="5" t="s">
        <v>218</v>
      </c>
      <c r="B46" s="5" t="s">
        <v>44</v>
      </c>
      <c r="C46" s="5" t="s">
        <v>45</v>
      </c>
      <c r="D46" s="5" t="s">
        <v>32</v>
      </c>
      <c r="E46" s="5" t="s">
        <v>32</v>
      </c>
      <c r="F46" s="5" t="s">
        <v>218</v>
      </c>
      <c r="G46" s="11" t="s">
        <v>36</v>
      </c>
      <c r="H46" s="5"/>
    </row>
    <row r="47" spans="1:8" ht="15" customHeight="1" x14ac:dyDescent="0.35">
      <c r="A47" s="5" t="s">
        <v>218</v>
      </c>
      <c r="B47" s="5" t="s">
        <v>47</v>
      </c>
      <c r="C47" s="5" t="s">
        <v>219</v>
      </c>
      <c r="D47" s="5" t="s">
        <v>220</v>
      </c>
      <c r="E47" s="5" t="s">
        <v>221</v>
      </c>
      <c r="F47" s="5" t="s">
        <v>197</v>
      </c>
      <c r="G47" s="13" t="s">
        <v>52</v>
      </c>
      <c r="H47" s="5" t="s">
        <v>222</v>
      </c>
    </row>
    <row r="48" spans="1:8" ht="15" customHeight="1" x14ac:dyDescent="0.35">
      <c r="A48" s="5" t="s">
        <v>218</v>
      </c>
      <c r="B48" s="5" t="s">
        <v>54</v>
      </c>
      <c r="C48" s="5" t="s">
        <v>223</v>
      </c>
      <c r="D48" s="5" t="s">
        <v>224</v>
      </c>
      <c r="E48" s="5" t="s">
        <v>225</v>
      </c>
      <c r="F48" s="5" t="s">
        <v>226</v>
      </c>
      <c r="G48" s="11" t="s">
        <v>36</v>
      </c>
      <c r="H48" s="5" t="s">
        <v>227</v>
      </c>
    </row>
    <row r="49" spans="1:8" ht="15" customHeight="1" x14ac:dyDescent="0.35">
      <c r="A49" s="5" t="s">
        <v>218</v>
      </c>
      <c r="B49" s="5" t="s">
        <v>59</v>
      </c>
      <c r="C49" s="5" t="s">
        <v>228</v>
      </c>
      <c r="D49" s="5" t="s">
        <v>229</v>
      </c>
      <c r="E49" s="5" t="s">
        <v>32</v>
      </c>
      <c r="F49" s="5" t="s">
        <v>82</v>
      </c>
      <c r="G49" s="13" t="s">
        <v>52</v>
      </c>
      <c r="H49" s="5"/>
    </row>
    <row r="50" spans="1:8" ht="23.25" customHeight="1" x14ac:dyDescent="0.35">
      <c r="A50" s="5" t="s">
        <v>218</v>
      </c>
      <c r="B50" s="5" t="s">
        <v>65</v>
      </c>
      <c r="C50" s="5" t="s">
        <v>230</v>
      </c>
      <c r="D50" s="5" t="s">
        <v>231</v>
      </c>
      <c r="E50" s="5" t="s">
        <v>232</v>
      </c>
      <c r="F50" s="5" t="s">
        <v>197</v>
      </c>
      <c r="G50" s="13" t="s">
        <v>52</v>
      </c>
      <c r="H50" s="5" t="s">
        <v>233</v>
      </c>
    </row>
    <row r="51" spans="1:8" ht="15" customHeight="1" x14ac:dyDescent="0.35">
      <c r="A51" s="5" t="s">
        <v>218</v>
      </c>
      <c r="B51" s="5" t="s">
        <v>71</v>
      </c>
      <c r="C51" s="5" t="s">
        <v>234</v>
      </c>
      <c r="D51" s="5" t="s">
        <v>235</v>
      </c>
      <c r="E51" s="5" t="s">
        <v>236</v>
      </c>
      <c r="F51" s="5" t="s">
        <v>237</v>
      </c>
      <c r="G51" s="11" t="s">
        <v>36</v>
      </c>
      <c r="H51" s="5" t="s">
        <v>238</v>
      </c>
    </row>
    <row r="52" spans="1:8" ht="15" customHeight="1" x14ac:dyDescent="0.35">
      <c r="A52" s="5" t="s">
        <v>218</v>
      </c>
      <c r="B52" s="5" t="s">
        <v>75</v>
      </c>
      <c r="C52" s="5" t="s">
        <v>239</v>
      </c>
      <c r="D52" s="5" t="s">
        <v>235</v>
      </c>
      <c r="E52" s="5" t="s">
        <v>32</v>
      </c>
      <c r="F52" s="5" t="s">
        <v>237</v>
      </c>
      <c r="G52" s="13" t="s">
        <v>52</v>
      </c>
      <c r="H52" s="5"/>
    </row>
    <row r="53" spans="1:8" ht="34.5" customHeight="1" x14ac:dyDescent="0.35">
      <c r="A53" s="5" t="s">
        <v>218</v>
      </c>
      <c r="B53" s="5" t="s">
        <v>168</v>
      </c>
      <c r="C53" s="5" t="s">
        <v>240</v>
      </c>
      <c r="D53" s="5" t="s">
        <v>241</v>
      </c>
      <c r="E53" s="5" t="s">
        <v>242</v>
      </c>
      <c r="F53" s="5" t="s">
        <v>243</v>
      </c>
      <c r="G53" s="13" t="s">
        <v>52</v>
      </c>
      <c r="H53" s="5" t="s">
        <v>244</v>
      </c>
    </row>
    <row r="54" spans="1:8" ht="15" customHeight="1" x14ac:dyDescent="0.35">
      <c r="A54" s="5" t="s">
        <v>218</v>
      </c>
      <c r="B54" s="5" t="s">
        <v>245</v>
      </c>
      <c r="C54" s="5" t="s">
        <v>246</v>
      </c>
      <c r="D54" s="5" t="s">
        <v>247</v>
      </c>
      <c r="E54" s="5" t="s">
        <v>248</v>
      </c>
      <c r="F54" s="5" t="s">
        <v>249</v>
      </c>
      <c r="G54" s="11" t="s">
        <v>36</v>
      </c>
      <c r="H54" s="5" t="s">
        <v>250</v>
      </c>
    </row>
    <row r="55" spans="1:8" ht="15" customHeight="1" x14ac:dyDescent="0.35">
      <c r="A55" s="5" t="s">
        <v>218</v>
      </c>
      <c r="B55" s="5" t="s">
        <v>251</v>
      </c>
      <c r="C55" s="5" t="s">
        <v>252</v>
      </c>
      <c r="D55" s="5" t="s">
        <v>253</v>
      </c>
      <c r="E55" s="5" t="s">
        <v>254</v>
      </c>
      <c r="F55" s="5" t="s">
        <v>255</v>
      </c>
      <c r="G55" s="11" t="s">
        <v>36</v>
      </c>
      <c r="H55" s="5" t="s">
        <v>250</v>
      </c>
    </row>
    <row r="56" spans="1:8" ht="15" customHeight="1" x14ac:dyDescent="0.35">
      <c r="A56" s="5" t="s">
        <v>218</v>
      </c>
      <c r="B56" s="5" t="s">
        <v>256</v>
      </c>
      <c r="C56" s="5" t="s">
        <v>257</v>
      </c>
      <c r="D56" s="5" t="s">
        <v>258</v>
      </c>
      <c r="E56" s="5" t="s">
        <v>232</v>
      </c>
      <c r="F56" s="5" t="s">
        <v>197</v>
      </c>
      <c r="G56" s="13" t="s">
        <v>52</v>
      </c>
      <c r="H56" s="5" t="s">
        <v>259</v>
      </c>
    </row>
    <row r="57" spans="1:8" ht="15" customHeight="1" x14ac:dyDescent="0.35">
      <c r="A57" s="5" t="s">
        <v>218</v>
      </c>
      <c r="B57" s="5" t="s">
        <v>111</v>
      </c>
      <c r="C57" s="5" t="s">
        <v>260</v>
      </c>
      <c r="D57" s="5" t="s">
        <v>32</v>
      </c>
      <c r="E57" s="5" t="s">
        <v>32</v>
      </c>
      <c r="F57" s="5" t="s">
        <v>129</v>
      </c>
      <c r="G57" s="12" t="s">
        <v>41</v>
      </c>
      <c r="H57" s="5"/>
    </row>
    <row r="58" spans="1:8" ht="23.25" customHeight="1" x14ac:dyDescent="0.35">
      <c r="A58" s="5" t="s">
        <v>261</v>
      </c>
      <c r="B58" s="5" t="s">
        <v>262</v>
      </c>
      <c r="C58" s="5" t="s">
        <v>263</v>
      </c>
      <c r="D58" s="5" t="s">
        <v>264</v>
      </c>
      <c r="E58" s="5" t="s">
        <v>202</v>
      </c>
      <c r="F58" s="5" t="s">
        <v>203</v>
      </c>
      <c r="G58" s="13" t="s">
        <v>52</v>
      </c>
      <c r="H58" s="5" t="s">
        <v>265</v>
      </c>
    </row>
    <row r="59" spans="1:8" ht="15" customHeight="1" x14ac:dyDescent="0.35">
      <c r="A59" s="5" t="s">
        <v>266</v>
      </c>
      <c r="B59" s="5" t="s">
        <v>44</v>
      </c>
      <c r="C59" s="5" t="s">
        <v>267</v>
      </c>
      <c r="D59" s="5" t="s">
        <v>268</v>
      </c>
      <c r="E59" s="5" t="s">
        <v>32</v>
      </c>
      <c r="F59" s="5" t="s">
        <v>266</v>
      </c>
      <c r="G59" s="11" t="s">
        <v>36</v>
      </c>
      <c r="H59" s="5" t="s">
        <v>269</v>
      </c>
    </row>
    <row r="60" spans="1:8" ht="23.25" customHeight="1" x14ac:dyDescent="0.35">
      <c r="A60" s="5" t="s">
        <v>270</v>
      </c>
      <c r="B60" s="5" t="s">
        <v>32</v>
      </c>
      <c r="C60" s="5" t="s">
        <v>271</v>
      </c>
      <c r="D60" s="5" t="s">
        <v>272</v>
      </c>
      <c r="E60" s="5" t="s">
        <v>32</v>
      </c>
      <c r="F60" s="5" t="s">
        <v>32</v>
      </c>
      <c r="G60" s="11" t="s">
        <v>36</v>
      </c>
      <c r="H60" s="5" t="s">
        <v>273</v>
      </c>
    </row>
  </sheetData>
  <autoFilter ref="A4:H60"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3"/>
  <sheetViews>
    <sheetView zoomScaleNormal="100" workbookViewId="0">
      <pane ySplit="4" topLeftCell="A5" activePane="bottomLeft" state="frozen"/>
      <selection pane="bottomLeft"/>
    </sheetView>
  </sheetViews>
  <sheetFormatPr defaultColWidth="8.6328125" defaultRowHeight="14.5" x14ac:dyDescent="0.35"/>
  <cols>
    <col min="1" max="1" width="10" customWidth="1"/>
    <col min="2" max="2" width="8" customWidth="1"/>
    <col min="3" max="3" width="34" customWidth="1"/>
    <col min="4" max="4" width="30" customWidth="1"/>
    <col min="5" max="6" width="26" customWidth="1"/>
    <col min="7" max="7" width="13" customWidth="1"/>
    <col min="8" max="8" width="46" customWidth="1"/>
  </cols>
  <sheetData>
    <row r="1" spans="1:8" ht="15.75" customHeight="1" x14ac:dyDescent="0.35">
      <c r="A1" s="9" t="s">
        <v>274</v>
      </c>
    </row>
    <row r="2" spans="1:8" ht="15" customHeight="1" x14ac:dyDescent="0.35">
      <c r="A2" s="3" t="s">
        <v>275</v>
      </c>
    </row>
    <row r="4" spans="1:8" ht="15" customHeight="1" x14ac:dyDescent="0.35">
      <c r="A4" s="10" t="s">
        <v>23</v>
      </c>
      <c r="B4" s="10" t="s">
        <v>24</v>
      </c>
      <c r="C4" s="10" t="s">
        <v>25</v>
      </c>
      <c r="D4" s="10" t="s">
        <v>26</v>
      </c>
      <c r="E4" s="10" t="s">
        <v>27</v>
      </c>
      <c r="F4" s="10" t="s">
        <v>28</v>
      </c>
      <c r="G4" s="10" t="s">
        <v>29</v>
      </c>
      <c r="H4" s="10" t="s">
        <v>30</v>
      </c>
    </row>
    <row r="5" spans="1:8" ht="23.25" customHeight="1" x14ac:dyDescent="0.35">
      <c r="A5" s="5" t="s">
        <v>31</v>
      </c>
      <c r="B5" s="5" t="s">
        <v>32</v>
      </c>
      <c r="C5" s="5" t="s">
        <v>276</v>
      </c>
      <c r="D5" s="5" t="s">
        <v>277</v>
      </c>
      <c r="E5" s="5" t="s">
        <v>32</v>
      </c>
      <c r="F5" s="5" t="s">
        <v>278</v>
      </c>
      <c r="G5" s="11" t="s">
        <v>36</v>
      </c>
      <c r="H5" s="5" t="s">
        <v>279</v>
      </c>
    </row>
    <row r="6" spans="1:8" ht="15" customHeight="1" x14ac:dyDescent="0.35">
      <c r="A6" s="5" t="s">
        <v>43</v>
      </c>
      <c r="B6" s="5" t="s">
        <v>59</v>
      </c>
      <c r="C6" s="5" t="s">
        <v>280</v>
      </c>
      <c r="D6" s="5" t="s">
        <v>281</v>
      </c>
      <c r="E6" s="5" t="s">
        <v>282</v>
      </c>
      <c r="F6" s="5" t="s">
        <v>283</v>
      </c>
      <c r="G6" s="11" t="s">
        <v>36</v>
      </c>
      <c r="H6" s="5" t="s">
        <v>284</v>
      </c>
    </row>
    <row r="7" spans="1:8" ht="15" customHeight="1" x14ac:dyDescent="0.35">
      <c r="A7" s="5" t="s">
        <v>43</v>
      </c>
      <c r="B7" s="5" t="s">
        <v>71</v>
      </c>
      <c r="C7" s="5" t="s">
        <v>60</v>
      </c>
      <c r="D7" s="5" t="s">
        <v>285</v>
      </c>
      <c r="E7" s="5" t="s">
        <v>62</v>
      </c>
      <c r="F7" s="5" t="s">
        <v>286</v>
      </c>
      <c r="G7" s="11" t="s">
        <v>36</v>
      </c>
      <c r="H7" s="5" t="s">
        <v>284</v>
      </c>
    </row>
    <row r="8" spans="1:8" ht="15" customHeight="1" x14ac:dyDescent="0.35">
      <c r="A8" s="5" t="s">
        <v>43</v>
      </c>
      <c r="B8" s="5" t="s">
        <v>75</v>
      </c>
      <c r="C8" s="5" t="s">
        <v>287</v>
      </c>
      <c r="D8" s="5" t="s">
        <v>288</v>
      </c>
      <c r="E8" s="5" t="s">
        <v>78</v>
      </c>
      <c r="F8" s="5" t="s">
        <v>289</v>
      </c>
      <c r="G8" s="11" t="s">
        <v>36</v>
      </c>
      <c r="H8" s="5" t="s">
        <v>284</v>
      </c>
    </row>
    <row r="9" spans="1:8" ht="23.25" customHeight="1" x14ac:dyDescent="0.35">
      <c r="A9" s="5" t="s">
        <v>43</v>
      </c>
      <c r="B9" s="5" t="s">
        <v>168</v>
      </c>
      <c r="C9" s="5" t="s">
        <v>290</v>
      </c>
      <c r="D9" s="5" t="s">
        <v>291</v>
      </c>
      <c r="E9" s="5" t="s">
        <v>292</v>
      </c>
      <c r="F9" s="5" t="s">
        <v>293</v>
      </c>
      <c r="G9" s="11" t="s">
        <v>36</v>
      </c>
      <c r="H9" s="5" t="s">
        <v>294</v>
      </c>
    </row>
    <row r="10" spans="1:8" ht="15" customHeight="1" x14ac:dyDescent="0.35">
      <c r="A10" s="5" t="s">
        <v>43</v>
      </c>
      <c r="B10" s="5" t="s">
        <v>295</v>
      </c>
      <c r="C10" s="5" t="s">
        <v>296</v>
      </c>
      <c r="D10" s="5" t="s">
        <v>297</v>
      </c>
      <c r="E10" s="5" t="s">
        <v>32</v>
      </c>
      <c r="F10" s="5" t="s">
        <v>298</v>
      </c>
      <c r="G10" s="13" t="s">
        <v>52</v>
      </c>
      <c r="H10" s="5"/>
    </row>
    <row r="11" spans="1:8" ht="15" customHeight="1" x14ac:dyDescent="0.35">
      <c r="A11" s="5" t="s">
        <v>43</v>
      </c>
      <c r="B11" s="5" t="s">
        <v>299</v>
      </c>
      <c r="C11" s="5" t="s">
        <v>300</v>
      </c>
      <c r="D11" s="5" t="s">
        <v>301</v>
      </c>
      <c r="E11" s="5" t="s">
        <v>302</v>
      </c>
      <c r="F11" s="5" t="s">
        <v>303</v>
      </c>
      <c r="G11" s="12" t="s">
        <v>41</v>
      </c>
      <c r="H11" s="5" t="s">
        <v>304</v>
      </c>
    </row>
    <row r="12" spans="1:8" ht="15" customHeight="1" x14ac:dyDescent="0.35">
      <c r="A12" s="5" t="s">
        <v>43</v>
      </c>
      <c r="B12" s="5" t="s">
        <v>305</v>
      </c>
      <c r="C12" s="5" t="s">
        <v>306</v>
      </c>
      <c r="D12" s="5" t="s">
        <v>307</v>
      </c>
      <c r="E12" s="5" t="s">
        <v>308</v>
      </c>
      <c r="F12" s="5" t="s">
        <v>293</v>
      </c>
      <c r="G12" s="13" t="s">
        <v>52</v>
      </c>
      <c r="H12" s="5"/>
    </row>
    <row r="13" spans="1:8" ht="15" customHeight="1" x14ac:dyDescent="0.35">
      <c r="A13" s="5" t="s">
        <v>43</v>
      </c>
      <c r="B13" s="5" t="s">
        <v>309</v>
      </c>
      <c r="C13" s="5" t="s">
        <v>310</v>
      </c>
      <c r="D13" s="5" t="s">
        <v>311</v>
      </c>
      <c r="E13" s="5" t="s">
        <v>32</v>
      </c>
      <c r="F13" s="5" t="s">
        <v>71</v>
      </c>
      <c r="G13" s="12" t="s">
        <v>41</v>
      </c>
      <c r="H13" s="5"/>
    </row>
    <row r="14" spans="1:8" ht="15" customHeight="1" x14ac:dyDescent="0.35">
      <c r="A14" s="5" t="s">
        <v>43</v>
      </c>
      <c r="B14" s="5" t="s">
        <v>251</v>
      </c>
      <c r="C14" s="5" t="s">
        <v>306</v>
      </c>
      <c r="D14" s="5" t="s">
        <v>312</v>
      </c>
      <c r="E14" s="5" t="s">
        <v>100</v>
      </c>
      <c r="F14" s="5" t="s">
        <v>293</v>
      </c>
      <c r="G14" s="12" t="s">
        <v>41</v>
      </c>
      <c r="H14" s="5"/>
    </row>
    <row r="15" spans="1:8" ht="15" customHeight="1" x14ac:dyDescent="0.35">
      <c r="A15" s="5" t="s">
        <v>43</v>
      </c>
      <c r="B15" s="5" t="s">
        <v>313</v>
      </c>
      <c r="C15" s="5" t="s">
        <v>92</v>
      </c>
      <c r="D15" s="5" t="s">
        <v>93</v>
      </c>
      <c r="E15" s="5" t="s">
        <v>100</v>
      </c>
      <c r="F15" s="5" t="s">
        <v>314</v>
      </c>
      <c r="G15" s="11" t="s">
        <v>36</v>
      </c>
      <c r="H15" s="5" t="s">
        <v>315</v>
      </c>
    </row>
    <row r="16" spans="1:8" ht="15" customHeight="1" x14ac:dyDescent="0.35">
      <c r="A16" s="5" t="s">
        <v>43</v>
      </c>
      <c r="B16" s="5" t="s">
        <v>91</v>
      </c>
      <c r="C16" s="5" t="s">
        <v>98</v>
      </c>
      <c r="D16" s="5" t="s">
        <v>99</v>
      </c>
      <c r="E16" s="5" t="s">
        <v>100</v>
      </c>
      <c r="F16" s="5" t="s">
        <v>316</v>
      </c>
      <c r="G16" s="13" t="s">
        <v>52</v>
      </c>
      <c r="H16" s="5"/>
    </row>
    <row r="17" spans="1:8" ht="15" customHeight="1" x14ac:dyDescent="0.35">
      <c r="A17" s="5" t="s">
        <v>43</v>
      </c>
      <c r="B17" s="5" t="s">
        <v>115</v>
      </c>
      <c r="C17" s="5" t="s">
        <v>317</v>
      </c>
      <c r="D17" s="5" t="s">
        <v>318</v>
      </c>
      <c r="E17" s="5" t="s">
        <v>319</v>
      </c>
      <c r="F17" s="5" t="s">
        <v>82</v>
      </c>
      <c r="G17" s="11" t="s">
        <v>36</v>
      </c>
      <c r="H17" s="5" t="s">
        <v>320</v>
      </c>
    </row>
    <row r="18" spans="1:8" ht="15" customHeight="1" x14ac:dyDescent="0.35">
      <c r="A18" s="5" t="s">
        <v>43</v>
      </c>
      <c r="B18" s="5" t="s">
        <v>121</v>
      </c>
      <c r="C18" s="5" t="s">
        <v>321</v>
      </c>
      <c r="D18" s="5" t="s">
        <v>311</v>
      </c>
      <c r="E18" s="5" t="s">
        <v>32</v>
      </c>
      <c r="F18" s="5" t="s">
        <v>44</v>
      </c>
      <c r="G18" s="12" t="s">
        <v>41</v>
      </c>
      <c r="H18" s="5"/>
    </row>
    <row r="19" spans="1:8" ht="15" customHeight="1" x14ac:dyDescent="0.35">
      <c r="A19" s="5" t="s">
        <v>43</v>
      </c>
      <c r="B19" s="5" t="s">
        <v>131</v>
      </c>
      <c r="C19" s="5" t="s">
        <v>306</v>
      </c>
      <c r="D19" s="5" t="s">
        <v>322</v>
      </c>
      <c r="E19" s="5" t="s">
        <v>100</v>
      </c>
      <c r="F19" s="5" t="s">
        <v>323</v>
      </c>
      <c r="G19" s="13" t="s">
        <v>52</v>
      </c>
      <c r="H19" s="5" t="s">
        <v>324</v>
      </c>
    </row>
    <row r="20" spans="1:8" ht="15" customHeight="1" x14ac:dyDescent="0.35">
      <c r="A20" s="5" t="s">
        <v>43</v>
      </c>
      <c r="B20" s="5" t="s">
        <v>325</v>
      </c>
      <c r="C20" s="5" t="s">
        <v>326</v>
      </c>
      <c r="D20" s="5" t="s">
        <v>128</v>
      </c>
      <c r="E20" s="5" t="s">
        <v>100</v>
      </c>
      <c r="F20" s="5" t="s">
        <v>129</v>
      </c>
      <c r="G20" s="11" t="s">
        <v>36</v>
      </c>
      <c r="H20" s="5" t="s">
        <v>284</v>
      </c>
    </row>
    <row r="21" spans="1:8" ht="15" customHeight="1" x14ac:dyDescent="0.35">
      <c r="A21" s="5" t="s">
        <v>43</v>
      </c>
      <c r="B21" s="5" t="s">
        <v>139</v>
      </c>
      <c r="C21" s="5" t="s">
        <v>135</v>
      </c>
      <c r="D21" s="5" t="s">
        <v>136</v>
      </c>
      <c r="E21" s="5" t="s">
        <v>100</v>
      </c>
      <c r="F21" s="5" t="s">
        <v>299</v>
      </c>
      <c r="G21" s="13" t="s">
        <v>52</v>
      </c>
      <c r="H21" s="5"/>
    </row>
    <row r="22" spans="1:8" ht="15" customHeight="1" x14ac:dyDescent="0.35">
      <c r="A22" s="5" t="s">
        <v>43</v>
      </c>
      <c r="B22" s="5" t="s">
        <v>327</v>
      </c>
      <c r="C22" s="5" t="s">
        <v>328</v>
      </c>
      <c r="D22" s="5" t="s">
        <v>329</v>
      </c>
      <c r="E22" s="5" t="s">
        <v>330</v>
      </c>
      <c r="F22" s="5" t="s">
        <v>331</v>
      </c>
      <c r="G22" s="11" t="s">
        <v>36</v>
      </c>
      <c r="H22" s="5" t="s">
        <v>284</v>
      </c>
    </row>
    <row r="23" spans="1:8" ht="15" customHeight="1" x14ac:dyDescent="0.35">
      <c r="A23" s="5" t="s">
        <v>43</v>
      </c>
      <c r="B23" s="5" t="s">
        <v>332</v>
      </c>
      <c r="C23" s="5" t="s">
        <v>132</v>
      </c>
      <c r="D23" s="5" t="s">
        <v>133</v>
      </c>
      <c r="E23" s="5" t="s">
        <v>100</v>
      </c>
      <c r="F23" s="5" t="s">
        <v>323</v>
      </c>
      <c r="G23" s="13" t="s">
        <v>52</v>
      </c>
      <c r="H23" s="5"/>
    </row>
    <row r="24" spans="1:8" ht="15" customHeight="1" x14ac:dyDescent="0.35">
      <c r="A24" s="5" t="s">
        <v>32</v>
      </c>
      <c r="B24" s="5" t="s">
        <v>32</v>
      </c>
      <c r="C24" s="5" t="s">
        <v>333</v>
      </c>
      <c r="D24" s="5" t="s">
        <v>334</v>
      </c>
      <c r="E24" s="5" t="s">
        <v>335</v>
      </c>
      <c r="F24" s="5" t="s">
        <v>32</v>
      </c>
      <c r="G24" s="11" t="s">
        <v>36</v>
      </c>
      <c r="H24" s="5" t="s">
        <v>336</v>
      </c>
    </row>
    <row r="25" spans="1:8" ht="23.25" customHeight="1" x14ac:dyDescent="0.35">
      <c r="A25" s="5" t="s">
        <v>145</v>
      </c>
      <c r="B25" s="5" t="s">
        <v>47</v>
      </c>
      <c r="C25" s="5" t="s">
        <v>337</v>
      </c>
      <c r="D25" s="5" t="s">
        <v>338</v>
      </c>
      <c r="E25" s="5" t="s">
        <v>149</v>
      </c>
      <c r="F25" s="5" t="s">
        <v>339</v>
      </c>
      <c r="G25" s="13" t="s">
        <v>52</v>
      </c>
      <c r="H25" s="5" t="s">
        <v>340</v>
      </c>
    </row>
    <row r="26" spans="1:8" ht="15" customHeight="1" x14ac:dyDescent="0.35">
      <c r="A26" s="5" t="s">
        <v>145</v>
      </c>
      <c r="B26" s="5" t="s">
        <v>54</v>
      </c>
      <c r="C26" s="5" t="s">
        <v>341</v>
      </c>
      <c r="D26" s="5" t="s">
        <v>342</v>
      </c>
      <c r="E26" s="5" t="s">
        <v>343</v>
      </c>
      <c r="F26" s="5" t="s">
        <v>344</v>
      </c>
      <c r="G26" s="12" t="s">
        <v>41</v>
      </c>
      <c r="H26" s="5" t="s">
        <v>345</v>
      </c>
    </row>
    <row r="27" spans="1:8" ht="23.25" customHeight="1" x14ac:dyDescent="0.35">
      <c r="A27" s="5" t="s">
        <v>145</v>
      </c>
      <c r="B27" s="5" t="s">
        <v>346</v>
      </c>
      <c r="C27" s="5" t="s">
        <v>347</v>
      </c>
      <c r="D27" s="5" t="s">
        <v>348</v>
      </c>
      <c r="E27" s="5" t="s">
        <v>349</v>
      </c>
      <c r="F27" s="5" t="s">
        <v>350</v>
      </c>
      <c r="G27" s="11" t="s">
        <v>36</v>
      </c>
      <c r="H27" s="5" t="s">
        <v>284</v>
      </c>
    </row>
    <row r="28" spans="1:8" ht="15" customHeight="1" x14ac:dyDescent="0.35">
      <c r="A28" s="5" t="s">
        <v>182</v>
      </c>
      <c r="B28" s="5" t="s">
        <v>183</v>
      </c>
      <c r="C28" s="5" t="s">
        <v>351</v>
      </c>
      <c r="D28" s="5" t="s">
        <v>185</v>
      </c>
      <c r="E28" s="5" t="s">
        <v>186</v>
      </c>
      <c r="F28" s="5" t="s">
        <v>352</v>
      </c>
      <c r="G28" s="11" t="s">
        <v>36</v>
      </c>
      <c r="H28" s="5" t="s">
        <v>284</v>
      </c>
    </row>
    <row r="29" spans="1:8" ht="23.25" customHeight="1" x14ac:dyDescent="0.35">
      <c r="A29" s="5" t="s">
        <v>353</v>
      </c>
      <c r="B29" s="5" t="s">
        <v>54</v>
      </c>
      <c r="C29" s="5" t="s">
        <v>354</v>
      </c>
      <c r="D29" s="5" t="s">
        <v>355</v>
      </c>
      <c r="E29" s="5" t="s">
        <v>356</v>
      </c>
      <c r="F29" s="5" t="s">
        <v>357</v>
      </c>
      <c r="G29" s="13" t="s">
        <v>52</v>
      </c>
      <c r="H29" s="5" t="s">
        <v>358</v>
      </c>
    </row>
    <row r="30" spans="1:8" ht="15" customHeight="1" x14ac:dyDescent="0.35">
      <c r="A30" s="5" t="s">
        <v>353</v>
      </c>
      <c r="B30" s="5" t="s">
        <v>59</v>
      </c>
      <c r="C30" s="5" t="s">
        <v>359</v>
      </c>
      <c r="D30" s="5" t="s">
        <v>360</v>
      </c>
      <c r="E30" s="5" t="s">
        <v>302</v>
      </c>
      <c r="F30" s="5" t="s">
        <v>361</v>
      </c>
      <c r="G30" s="12" t="s">
        <v>41</v>
      </c>
      <c r="H30" s="5" t="s">
        <v>362</v>
      </c>
    </row>
    <row r="31" spans="1:8" ht="15" customHeight="1" x14ac:dyDescent="0.35">
      <c r="A31" s="5" t="s">
        <v>353</v>
      </c>
      <c r="B31" s="5" t="s">
        <v>75</v>
      </c>
      <c r="C31" s="5" t="s">
        <v>363</v>
      </c>
      <c r="D31" s="5" t="s">
        <v>364</v>
      </c>
      <c r="E31" s="5" t="s">
        <v>365</v>
      </c>
      <c r="F31" s="5" t="s">
        <v>366</v>
      </c>
      <c r="G31" s="13" t="s">
        <v>52</v>
      </c>
      <c r="H31" s="5"/>
    </row>
    <row r="32" spans="1:8" ht="15" customHeight="1" x14ac:dyDescent="0.35">
      <c r="A32" s="5" t="s">
        <v>353</v>
      </c>
      <c r="B32" s="5" t="s">
        <v>367</v>
      </c>
      <c r="C32" s="5" t="s">
        <v>368</v>
      </c>
      <c r="D32" s="5" t="s">
        <v>369</v>
      </c>
      <c r="E32" s="5" t="s">
        <v>370</v>
      </c>
      <c r="F32" s="5" t="s">
        <v>371</v>
      </c>
      <c r="G32" s="13" t="s">
        <v>52</v>
      </c>
      <c r="H32" s="5"/>
    </row>
    <row r="33" spans="1:8" ht="15" customHeight="1" x14ac:dyDescent="0.35">
      <c r="A33" s="5" t="s">
        <v>218</v>
      </c>
      <c r="B33" s="5" t="s">
        <v>47</v>
      </c>
      <c r="C33" s="5" t="s">
        <v>372</v>
      </c>
      <c r="D33" s="5" t="s">
        <v>373</v>
      </c>
      <c r="E33" s="5" t="s">
        <v>232</v>
      </c>
      <c r="F33" s="5" t="s">
        <v>374</v>
      </c>
      <c r="G33" s="11" t="s">
        <v>36</v>
      </c>
      <c r="H33" s="5" t="s">
        <v>284</v>
      </c>
    </row>
    <row r="34" spans="1:8" ht="23.25" customHeight="1" x14ac:dyDescent="0.35">
      <c r="A34" s="5" t="s">
        <v>218</v>
      </c>
      <c r="B34" s="5" t="s">
        <v>54</v>
      </c>
      <c r="C34" s="5" t="s">
        <v>375</v>
      </c>
      <c r="D34" s="5" t="s">
        <v>376</v>
      </c>
      <c r="E34" s="5" t="s">
        <v>225</v>
      </c>
      <c r="F34" s="5" t="s">
        <v>377</v>
      </c>
      <c r="G34" s="13" t="s">
        <v>52</v>
      </c>
      <c r="H34" s="5" t="s">
        <v>378</v>
      </c>
    </row>
    <row r="35" spans="1:8" ht="15" customHeight="1" x14ac:dyDescent="0.35">
      <c r="A35" s="5" t="s">
        <v>218</v>
      </c>
      <c r="B35" s="5" t="s">
        <v>65</v>
      </c>
      <c r="C35" s="5" t="s">
        <v>219</v>
      </c>
      <c r="D35" s="5" t="s">
        <v>379</v>
      </c>
      <c r="E35" s="5" t="s">
        <v>380</v>
      </c>
      <c r="F35" s="5" t="s">
        <v>381</v>
      </c>
      <c r="G35" s="11" t="s">
        <v>36</v>
      </c>
      <c r="H35" s="5" t="s">
        <v>382</v>
      </c>
    </row>
    <row r="36" spans="1:8" ht="15" customHeight="1" x14ac:dyDescent="0.35">
      <c r="A36" s="5" t="s">
        <v>218</v>
      </c>
      <c r="B36" s="5" t="s">
        <v>71</v>
      </c>
      <c r="C36" s="5" t="s">
        <v>234</v>
      </c>
      <c r="D36" s="5" t="s">
        <v>383</v>
      </c>
      <c r="E36" s="5" t="s">
        <v>384</v>
      </c>
      <c r="F36" s="5" t="s">
        <v>237</v>
      </c>
      <c r="G36" s="11" t="s">
        <v>36</v>
      </c>
      <c r="H36" s="5" t="s">
        <v>385</v>
      </c>
    </row>
    <row r="37" spans="1:8" ht="15" customHeight="1" x14ac:dyDescent="0.35">
      <c r="A37" s="5" t="s">
        <v>218</v>
      </c>
      <c r="B37" s="5" t="s">
        <v>168</v>
      </c>
      <c r="C37" s="5" t="s">
        <v>240</v>
      </c>
      <c r="D37" s="5" t="s">
        <v>386</v>
      </c>
      <c r="E37" s="5" t="s">
        <v>242</v>
      </c>
      <c r="F37" s="5" t="s">
        <v>387</v>
      </c>
      <c r="G37" s="11" t="s">
        <v>36</v>
      </c>
      <c r="H37" s="5"/>
    </row>
    <row r="38" spans="1:8" ht="15" customHeight="1" x14ac:dyDescent="0.35">
      <c r="A38" s="5" t="s">
        <v>218</v>
      </c>
      <c r="B38" s="5" t="s">
        <v>178</v>
      </c>
      <c r="C38" s="5" t="s">
        <v>388</v>
      </c>
      <c r="D38" s="5" t="s">
        <v>389</v>
      </c>
      <c r="E38" s="5" t="s">
        <v>32</v>
      </c>
      <c r="F38" s="5" t="s">
        <v>390</v>
      </c>
      <c r="G38" s="13" t="s">
        <v>52</v>
      </c>
      <c r="H38" s="5" t="s">
        <v>391</v>
      </c>
    </row>
    <row r="39" spans="1:8" ht="15" customHeight="1" x14ac:dyDescent="0.35">
      <c r="A39" s="5" t="s">
        <v>218</v>
      </c>
      <c r="B39" s="5" t="s">
        <v>214</v>
      </c>
      <c r="C39" s="5" t="s">
        <v>246</v>
      </c>
      <c r="D39" s="5" t="s">
        <v>392</v>
      </c>
      <c r="E39" s="5" t="s">
        <v>32</v>
      </c>
      <c r="F39" s="5" t="s">
        <v>393</v>
      </c>
      <c r="G39" s="13" t="s">
        <v>52</v>
      </c>
      <c r="H39" s="5"/>
    </row>
    <row r="40" spans="1:8" ht="15" customHeight="1" x14ac:dyDescent="0.35">
      <c r="A40" s="5" t="s">
        <v>218</v>
      </c>
      <c r="B40" s="5" t="s">
        <v>299</v>
      </c>
      <c r="C40" s="5" t="s">
        <v>394</v>
      </c>
      <c r="D40" s="5" t="s">
        <v>395</v>
      </c>
      <c r="E40" s="5" t="s">
        <v>396</v>
      </c>
      <c r="F40" s="5" t="s">
        <v>393</v>
      </c>
      <c r="G40" s="11" t="s">
        <v>36</v>
      </c>
      <c r="H40" s="5" t="s">
        <v>397</v>
      </c>
    </row>
    <row r="41" spans="1:8" ht="15" customHeight="1" x14ac:dyDescent="0.35">
      <c r="A41" s="5" t="s">
        <v>218</v>
      </c>
      <c r="B41" s="5" t="s">
        <v>305</v>
      </c>
      <c r="C41" s="5" t="s">
        <v>398</v>
      </c>
      <c r="D41" s="5" t="s">
        <v>399</v>
      </c>
      <c r="E41" s="5" t="s">
        <v>32</v>
      </c>
      <c r="F41" s="5" t="s">
        <v>400</v>
      </c>
      <c r="G41" s="11" t="s">
        <v>36</v>
      </c>
      <c r="H41" s="5" t="s">
        <v>401</v>
      </c>
    </row>
    <row r="42" spans="1:8" ht="15" customHeight="1" x14ac:dyDescent="0.35">
      <c r="A42" s="5" t="s">
        <v>218</v>
      </c>
      <c r="B42" s="5" t="s">
        <v>402</v>
      </c>
      <c r="C42" s="5" t="s">
        <v>403</v>
      </c>
      <c r="D42" s="5" t="s">
        <v>404</v>
      </c>
      <c r="E42" s="5" t="s">
        <v>32</v>
      </c>
      <c r="F42" s="5" t="s">
        <v>71</v>
      </c>
      <c r="G42" s="13" t="s">
        <v>52</v>
      </c>
      <c r="H42" s="5"/>
    </row>
    <row r="43" spans="1:8" ht="15" customHeight="1" x14ac:dyDescent="0.35">
      <c r="A43" s="5" t="s">
        <v>218</v>
      </c>
      <c r="B43" s="5" t="s">
        <v>251</v>
      </c>
      <c r="C43" s="5" t="s">
        <v>405</v>
      </c>
      <c r="D43" s="5" t="s">
        <v>406</v>
      </c>
      <c r="E43" s="5" t="s">
        <v>407</v>
      </c>
      <c r="F43" s="5" t="s">
        <v>44</v>
      </c>
      <c r="G43" s="11" t="s">
        <v>36</v>
      </c>
      <c r="H43" s="5" t="s">
        <v>408</v>
      </c>
    </row>
    <row r="44" spans="1:8" ht="15" customHeight="1" x14ac:dyDescent="0.35">
      <c r="A44" s="5" t="s">
        <v>218</v>
      </c>
      <c r="B44" s="5" t="s">
        <v>91</v>
      </c>
      <c r="C44" s="5" t="s">
        <v>409</v>
      </c>
      <c r="D44" s="5" t="s">
        <v>410</v>
      </c>
      <c r="E44" s="5" t="s">
        <v>411</v>
      </c>
      <c r="F44" s="5" t="s">
        <v>412</v>
      </c>
      <c r="G44" s="11" t="s">
        <v>36</v>
      </c>
      <c r="H44" s="5" t="s">
        <v>284</v>
      </c>
    </row>
    <row r="45" spans="1:8" ht="15" customHeight="1" x14ac:dyDescent="0.35">
      <c r="A45" s="5" t="s">
        <v>218</v>
      </c>
      <c r="B45" s="5" t="s">
        <v>111</v>
      </c>
      <c r="C45" s="5" t="s">
        <v>413</v>
      </c>
      <c r="D45" s="5" t="s">
        <v>414</v>
      </c>
      <c r="E45" s="5" t="s">
        <v>32</v>
      </c>
      <c r="F45" s="5" t="s">
        <v>415</v>
      </c>
      <c r="G45" s="13" t="s">
        <v>52</v>
      </c>
      <c r="H45" s="5"/>
    </row>
    <row r="46" spans="1:8" ht="15" customHeight="1" x14ac:dyDescent="0.35">
      <c r="A46" s="5" t="s">
        <v>218</v>
      </c>
      <c r="B46" s="5" t="s">
        <v>325</v>
      </c>
      <c r="C46" s="5" t="s">
        <v>416</v>
      </c>
      <c r="D46" s="5" t="s">
        <v>417</v>
      </c>
      <c r="E46" s="5" t="s">
        <v>418</v>
      </c>
      <c r="F46" s="5" t="s">
        <v>419</v>
      </c>
      <c r="G46" s="11" t="s">
        <v>36</v>
      </c>
      <c r="H46" s="5" t="s">
        <v>284</v>
      </c>
    </row>
    <row r="47" spans="1:8" ht="15" customHeight="1" x14ac:dyDescent="0.35">
      <c r="A47" s="5" t="s">
        <v>218</v>
      </c>
      <c r="B47" s="5" t="s">
        <v>420</v>
      </c>
      <c r="C47" s="5" t="s">
        <v>421</v>
      </c>
      <c r="D47" s="5" t="s">
        <v>32</v>
      </c>
      <c r="E47" s="5" t="s">
        <v>32</v>
      </c>
      <c r="F47" s="5" t="s">
        <v>422</v>
      </c>
      <c r="G47" s="12" t="s">
        <v>41</v>
      </c>
      <c r="H47" s="5" t="s">
        <v>423</v>
      </c>
    </row>
    <row r="48" spans="1:8" ht="23.25" customHeight="1" x14ac:dyDescent="0.35">
      <c r="A48" s="5" t="s">
        <v>424</v>
      </c>
      <c r="B48" s="5" t="s">
        <v>425</v>
      </c>
      <c r="C48" s="5" t="s">
        <v>426</v>
      </c>
      <c r="D48" s="5" t="s">
        <v>427</v>
      </c>
      <c r="E48" s="5" t="s">
        <v>202</v>
      </c>
      <c r="F48" s="5" t="s">
        <v>428</v>
      </c>
      <c r="G48" s="13" t="s">
        <v>52</v>
      </c>
      <c r="H48" s="5" t="s">
        <v>429</v>
      </c>
    </row>
    <row r="49" spans="1:8" ht="23.25" customHeight="1" x14ac:dyDescent="0.35">
      <c r="A49" s="5" t="s">
        <v>261</v>
      </c>
      <c r="B49" s="5" t="s">
        <v>32</v>
      </c>
      <c r="C49" s="5" t="s">
        <v>430</v>
      </c>
      <c r="D49" s="5" t="s">
        <v>431</v>
      </c>
      <c r="E49" s="5" t="s">
        <v>432</v>
      </c>
      <c r="F49" s="5" t="s">
        <v>433</v>
      </c>
      <c r="G49" s="13" t="s">
        <v>52</v>
      </c>
      <c r="H49" s="5" t="s">
        <v>434</v>
      </c>
    </row>
    <row r="50" spans="1:8" ht="15" customHeight="1" x14ac:dyDescent="0.35">
      <c r="A50" s="5" t="s">
        <v>266</v>
      </c>
      <c r="B50" s="5" t="s">
        <v>47</v>
      </c>
      <c r="C50" s="5" t="s">
        <v>435</v>
      </c>
      <c r="D50" s="5" t="s">
        <v>436</v>
      </c>
      <c r="E50" s="5" t="s">
        <v>437</v>
      </c>
      <c r="F50" s="5" t="s">
        <v>438</v>
      </c>
      <c r="G50" s="11" t="s">
        <v>36</v>
      </c>
      <c r="H50" s="5" t="s">
        <v>284</v>
      </c>
    </row>
    <row r="51" spans="1:8" ht="15" customHeight="1" x14ac:dyDescent="0.35">
      <c r="A51" s="5" t="s">
        <v>266</v>
      </c>
      <c r="B51" s="5" t="s">
        <v>54</v>
      </c>
      <c r="C51" s="5" t="s">
        <v>439</v>
      </c>
      <c r="D51" s="5" t="s">
        <v>440</v>
      </c>
      <c r="E51" s="5" t="s">
        <v>32</v>
      </c>
      <c r="F51" s="5" t="s">
        <v>441</v>
      </c>
      <c r="G51" s="11" t="s">
        <v>36</v>
      </c>
      <c r="H51" s="5" t="s">
        <v>442</v>
      </c>
    </row>
    <row r="52" spans="1:8" ht="15" customHeight="1" x14ac:dyDescent="0.35">
      <c r="A52" s="5" t="s">
        <v>266</v>
      </c>
      <c r="B52" s="5" t="s">
        <v>65</v>
      </c>
      <c r="C52" s="5" t="s">
        <v>443</v>
      </c>
      <c r="D52" s="5" t="s">
        <v>444</v>
      </c>
      <c r="E52" s="5" t="s">
        <v>32</v>
      </c>
      <c r="F52" s="5" t="s">
        <v>445</v>
      </c>
      <c r="G52" s="13" t="s">
        <v>52</v>
      </c>
      <c r="H52" s="5" t="s">
        <v>446</v>
      </c>
    </row>
    <row r="53" spans="1:8" ht="15" customHeight="1" x14ac:dyDescent="0.35">
      <c r="A53" s="5" t="s">
        <v>32</v>
      </c>
      <c r="B53" s="5" t="s">
        <v>32</v>
      </c>
      <c r="C53" s="5" t="s">
        <v>447</v>
      </c>
      <c r="D53" s="5" t="s">
        <v>448</v>
      </c>
      <c r="E53" s="5" t="s">
        <v>32</v>
      </c>
      <c r="F53" s="5" t="s">
        <v>32</v>
      </c>
      <c r="G53" s="11" t="s">
        <v>36</v>
      </c>
      <c r="H53" s="5" t="s">
        <v>449</v>
      </c>
    </row>
  </sheetData>
  <autoFilter ref="A4:H53"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0"/>
  <sheetViews>
    <sheetView tabSelected="1" zoomScaleNormal="100" workbookViewId="0">
      <pane ySplit="4" topLeftCell="A5" activePane="bottomLeft" state="frozen"/>
      <selection pane="bottomLeft" activeCell="B6" sqref="B6"/>
    </sheetView>
  </sheetViews>
  <sheetFormatPr defaultColWidth="8.6328125" defaultRowHeight="14.5" x14ac:dyDescent="0.35"/>
  <cols>
    <col min="1" max="1" width="10" customWidth="1"/>
    <col min="2" max="2" width="8" customWidth="1"/>
    <col min="3" max="3" width="34" customWidth="1"/>
    <col min="4" max="4" width="30" customWidth="1"/>
    <col min="5" max="6" width="26" customWidth="1"/>
    <col min="7" max="7" width="13" customWidth="1"/>
    <col min="8" max="8" width="46" customWidth="1"/>
  </cols>
  <sheetData>
    <row r="1" spans="1:8" ht="15.75" customHeight="1" x14ac:dyDescent="0.35">
      <c r="A1" s="9" t="s">
        <v>450</v>
      </c>
    </row>
    <row r="2" spans="1:8" ht="15" customHeight="1" x14ac:dyDescent="0.35">
      <c r="A2" s="3" t="s">
        <v>451</v>
      </c>
    </row>
    <row r="4" spans="1:8" ht="15" customHeight="1" x14ac:dyDescent="0.35">
      <c r="A4" s="10" t="s">
        <v>23</v>
      </c>
      <c r="B4" s="10" t="s">
        <v>24</v>
      </c>
      <c r="C4" s="10" t="s">
        <v>25</v>
      </c>
      <c r="D4" s="10" t="s">
        <v>26</v>
      </c>
      <c r="E4" s="10" t="s">
        <v>27</v>
      </c>
      <c r="F4" s="10" t="s">
        <v>28</v>
      </c>
      <c r="G4" s="10" t="s">
        <v>29</v>
      </c>
      <c r="H4" s="10" t="s">
        <v>30</v>
      </c>
    </row>
    <row r="5" spans="1:8" ht="23.25" customHeight="1" x14ac:dyDescent="0.35">
      <c r="A5" s="5" t="s">
        <v>31</v>
      </c>
      <c r="B5" s="5" t="s">
        <v>32</v>
      </c>
      <c r="C5" s="5" t="s">
        <v>452</v>
      </c>
      <c r="D5" s="5" t="s">
        <v>453</v>
      </c>
      <c r="E5" s="5" t="s">
        <v>32</v>
      </c>
      <c r="F5" s="5" t="s">
        <v>454</v>
      </c>
      <c r="G5" s="11" t="s">
        <v>36</v>
      </c>
      <c r="H5" s="5" t="s">
        <v>455</v>
      </c>
    </row>
    <row r="6" spans="1:8" ht="15" customHeight="1" x14ac:dyDescent="0.35">
      <c r="A6" s="5" t="s">
        <v>43</v>
      </c>
      <c r="B6" s="5" t="s">
        <v>295</v>
      </c>
      <c r="C6" s="5" t="s">
        <v>296</v>
      </c>
      <c r="D6" s="5" t="s">
        <v>456</v>
      </c>
      <c r="E6" s="5" t="s">
        <v>32</v>
      </c>
      <c r="F6" s="5" t="s">
        <v>457</v>
      </c>
      <c r="G6" s="13" t="s">
        <v>52</v>
      </c>
      <c r="H6" s="5"/>
    </row>
    <row r="7" spans="1:8" ht="23.25" customHeight="1" x14ac:dyDescent="0.35">
      <c r="A7" s="5" t="s">
        <v>43</v>
      </c>
      <c r="B7" s="5" t="s">
        <v>59</v>
      </c>
      <c r="C7" s="5" t="s">
        <v>458</v>
      </c>
      <c r="D7" s="5" t="s">
        <v>459</v>
      </c>
      <c r="E7" s="5" t="s">
        <v>460</v>
      </c>
      <c r="F7" s="5" t="s">
        <v>461</v>
      </c>
      <c r="G7" s="11" t="s">
        <v>36</v>
      </c>
      <c r="H7" s="5" t="s">
        <v>284</v>
      </c>
    </row>
    <row r="8" spans="1:8" ht="15" customHeight="1" x14ac:dyDescent="0.35">
      <c r="A8" s="5" t="s">
        <v>43</v>
      </c>
      <c r="B8" s="5" t="s">
        <v>65</v>
      </c>
      <c r="C8" s="5" t="s">
        <v>462</v>
      </c>
      <c r="D8" s="5" t="s">
        <v>463</v>
      </c>
      <c r="E8" s="5" t="s">
        <v>349</v>
      </c>
      <c r="F8" s="5" t="s">
        <v>464</v>
      </c>
      <c r="G8" s="11" t="s">
        <v>36</v>
      </c>
      <c r="H8" s="5" t="s">
        <v>465</v>
      </c>
    </row>
    <row r="9" spans="1:8" ht="15" customHeight="1" x14ac:dyDescent="0.35">
      <c r="A9" s="5" t="s">
        <v>43</v>
      </c>
      <c r="B9" s="5" t="s">
        <v>71</v>
      </c>
      <c r="C9" s="5" t="s">
        <v>60</v>
      </c>
      <c r="D9" s="5" t="s">
        <v>466</v>
      </c>
      <c r="E9" s="5" t="s">
        <v>62</v>
      </c>
      <c r="F9" s="5" t="s">
        <v>146</v>
      </c>
      <c r="G9" s="11" t="s">
        <v>36</v>
      </c>
      <c r="H9" s="5" t="s">
        <v>467</v>
      </c>
    </row>
    <row r="10" spans="1:8" ht="15" customHeight="1" x14ac:dyDescent="0.35">
      <c r="A10" s="5" t="s">
        <v>43</v>
      </c>
      <c r="B10" s="5" t="s">
        <v>75</v>
      </c>
      <c r="C10" s="5" t="s">
        <v>468</v>
      </c>
      <c r="D10" s="5" t="s">
        <v>469</v>
      </c>
      <c r="E10" s="5" t="s">
        <v>78</v>
      </c>
      <c r="F10" s="5" t="s">
        <v>470</v>
      </c>
      <c r="G10" s="11" t="s">
        <v>36</v>
      </c>
      <c r="H10" s="5" t="s">
        <v>284</v>
      </c>
    </row>
    <row r="11" spans="1:8" ht="15" customHeight="1" x14ac:dyDescent="0.35">
      <c r="A11" s="5" t="s">
        <v>43</v>
      </c>
      <c r="B11" s="5" t="s">
        <v>168</v>
      </c>
      <c r="C11" s="5" t="s">
        <v>471</v>
      </c>
      <c r="D11" s="5" t="s">
        <v>472</v>
      </c>
      <c r="E11" s="5" t="s">
        <v>473</v>
      </c>
      <c r="F11" s="5" t="s">
        <v>474</v>
      </c>
      <c r="G11" s="13" t="s">
        <v>52</v>
      </c>
      <c r="H11" s="5"/>
    </row>
    <row r="12" spans="1:8" ht="15" customHeight="1" x14ac:dyDescent="0.35">
      <c r="A12" s="5" t="s">
        <v>43</v>
      </c>
      <c r="B12" s="5" t="s">
        <v>84</v>
      </c>
      <c r="C12" s="5" t="s">
        <v>475</v>
      </c>
      <c r="D12" s="5" t="s">
        <v>360</v>
      </c>
      <c r="E12" s="5" t="s">
        <v>302</v>
      </c>
      <c r="F12" s="5" t="s">
        <v>476</v>
      </c>
      <c r="G12" s="13" t="s">
        <v>52</v>
      </c>
      <c r="H12" s="5" t="s">
        <v>477</v>
      </c>
    </row>
    <row r="13" spans="1:8" ht="15" customHeight="1" x14ac:dyDescent="0.35">
      <c r="A13" s="5" t="s">
        <v>43</v>
      </c>
      <c r="B13" s="5" t="s">
        <v>478</v>
      </c>
      <c r="C13" s="5" t="s">
        <v>479</v>
      </c>
      <c r="D13" s="5" t="s">
        <v>480</v>
      </c>
      <c r="E13" s="5" t="s">
        <v>32</v>
      </c>
      <c r="F13" s="5" t="s">
        <v>481</v>
      </c>
      <c r="G13" s="12" t="s">
        <v>41</v>
      </c>
      <c r="H13" s="5"/>
    </row>
    <row r="14" spans="1:8" ht="15" customHeight="1" x14ac:dyDescent="0.35">
      <c r="A14" s="5" t="s">
        <v>43</v>
      </c>
      <c r="B14" s="5" t="s">
        <v>309</v>
      </c>
      <c r="C14" s="5" t="s">
        <v>306</v>
      </c>
      <c r="D14" s="5" t="s">
        <v>311</v>
      </c>
      <c r="E14" s="5" t="s">
        <v>32</v>
      </c>
      <c r="F14" s="5" t="s">
        <v>482</v>
      </c>
      <c r="G14" s="12" t="s">
        <v>41</v>
      </c>
      <c r="H14" s="5"/>
    </row>
    <row r="15" spans="1:8" ht="23.25" customHeight="1" x14ac:dyDescent="0.35">
      <c r="A15" s="5" t="s">
        <v>483</v>
      </c>
      <c r="B15" s="5" t="s">
        <v>47</v>
      </c>
      <c r="C15" s="5" t="s">
        <v>484</v>
      </c>
      <c r="D15" s="5" t="s">
        <v>485</v>
      </c>
      <c r="E15" s="5" t="s">
        <v>149</v>
      </c>
      <c r="F15" s="5" t="s">
        <v>486</v>
      </c>
      <c r="G15" s="13" t="s">
        <v>52</v>
      </c>
      <c r="H15" s="5" t="s">
        <v>487</v>
      </c>
    </row>
    <row r="16" spans="1:8" ht="15" customHeight="1" x14ac:dyDescent="0.35">
      <c r="A16" s="5" t="s">
        <v>483</v>
      </c>
      <c r="B16" s="5" t="s">
        <v>54</v>
      </c>
      <c r="C16" s="5" t="s">
        <v>462</v>
      </c>
      <c r="D16" s="5" t="s">
        <v>463</v>
      </c>
      <c r="E16" s="5" t="s">
        <v>349</v>
      </c>
      <c r="F16" s="5" t="s">
        <v>464</v>
      </c>
      <c r="G16" s="11" t="s">
        <v>36</v>
      </c>
      <c r="H16" s="5"/>
    </row>
    <row r="17" spans="1:8" ht="15" customHeight="1" x14ac:dyDescent="0.35">
      <c r="A17" s="5" t="s">
        <v>483</v>
      </c>
      <c r="B17" s="5" t="s">
        <v>59</v>
      </c>
      <c r="C17" s="5" t="s">
        <v>152</v>
      </c>
      <c r="D17" s="5" t="s">
        <v>153</v>
      </c>
      <c r="E17" s="5" t="s">
        <v>154</v>
      </c>
      <c r="F17" s="5" t="s">
        <v>488</v>
      </c>
      <c r="G17" s="11" t="s">
        <v>36</v>
      </c>
      <c r="H17" s="5" t="s">
        <v>284</v>
      </c>
    </row>
    <row r="18" spans="1:8" ht="23.25" customHeight="1" x14ac:dyDescent="0.35">
      <c r="A18" s="5" t="s">
        <v>483</v>
      </c>
      <c r="B18" s="5" t="s">
        <v>489</v>
      </c>
      <c r="C18" s="5" t="s">
        <v>490</v>
      </c>
      <c r="D18" s="5" t="s">
        <v>491</v>
      </c>
      <c r="E18" s="5" t="s">
        <v>349</v>
      </c>
      <c r="F18" s="5" t="s">
        <v>492</v>
      </c>
      <c r="G18" s="11" t="s">
        <v>36</v>
      </c>
      <c r="H18" s="5" t="s">
        <v>284</v>
      </c>
    </row>
    <row r="19" spans="1:8" ht="15" customHeight="1" x14ac:dyDescent="0.35">
      <c r="A19" s="5" t="s">
        <v>493</v>
      </c>
      <c r="B19" s="5" t="s">
        <v>47</v>
      </c>
      <c r="C19" s="5" t="s">
        <v>494</v>
      </c>
      <c r="D19" s="5" t="s">
        <v>495</v>
      </c>
      <c r="E19" s="5" t="s">
        <v>32</v>
      </c>
      <c r="F19" s="5" t="s">
        <v>461</v>
      </c>
      <c r="G19" s="12" t="s">
        <v>41</v>
      </c>
      <c r="H19" s="5" t="s">
        <v>496</v>
      </c>
    </row>
    <row r="20" spans="1:8" ht="15" customHeight="1" x14ac:dyDescent="0.35">
      <c r="A20" s="5" t="s">
        <v>493</v>
      </c>
      <c r="B20" s="5" t="s">
        <v>54</v>
      </c>
      <c r="C20" s="5" t="s">
        <v>497</v>
      </c>
      <c r="D20" s="5" t="s">
        <v>498</v>
      </c>
      <c r="E20" s="5" t="s">
        <v>499</v>
      </c>
      <c r="F20" s="5" t="s">
        <v>470</v>
      </c>
      <c r="G20" s="11" t="s">
        <v>36</v>
      </c>
      <c r="H20" s="5" t="s">
        <v>284</v>
      </c>
    </row>
    <row r="21" spans="1:8" ht="15" customHeight="1" x14ac:dyDescent="0.35">
      <c r="A21" s="5" t="s">
        <v>493</v>
      </c>
      <c r="B21" s="5" t="s">
        <v>59</v>
      </c>
      <c r="C21" s="5" t="s">
        <v>500</v>
      </c>
      <c r="D21" s="5" t="s">
        <v>501</v>
      </c>
      <c r="E21" s="5" t="s">
        <v>32</v>
      </c>
      <c r="F21" s="5" t="s">
        <v>502</v>
      </c>
      <c r="G21" s="12" t="s">
        <v>41</v>
      </c>
      <c r="H21" s="5" t="s">
        <v>503</v>
      </c>
    </row>
    <row r="22" spans="1:8" ht="15" customHeight="1" x14ac:dyDescent="0.35">
      <c r="A22" s="5" t="s">
        <v>504</v>
      </c>
      <c r="B22" s="5" t="s">
        <v>47</v>
      </c>
      <c r="C22" s="5" t="s">
        <v>372</v>
      </c>
      <c r="D22" s="5" t="s">
        <v>505</v>
      </c>
      <c r="E22" s="5" t="s">
        <v>232</v>
      </c>
      <c r="F22" s="5" t="s">
        <v>506</v>
      </c>
      <c r="G22" s="11" t="s">
        <v>36</v>
      </c>
      <c r="H22" s="5" t="s">
        <v>284</v>
      </c>
    </row>
    <row r="23" spans="1:8" ht="15" customHeight="1" x14ac:dyDescent="0.35">
      <c r="A23" s="5" t="s">
        <v>504</v>
      </c>
      <c r="B23" s="5" t="s">
        <v>54</v>
      </c>
      <c r="C23" s="5" t="s">
        <v>375</v>
      </c>
      <c r="D23" s="5" t="s">
        <v>507</v>
      </c>
      <c r="E23" s="5" t="s">
        <v>225</v>
      </c>
      <c r="F23" s="5" t="s">
        <v>508</v>
      </c>
      <c r="G23" s="13" t="s">
        <v>52</v>
      </c>
      <c r="H23" s="5"/>
    </row>
    <row r="24" spans="1:8" ht="15" customHeight="1" x14ac:dyDescent="0.35">
      <c r="A24" s="5" t="s">
        <v>504</v>
      </c>
      <c r="B24" s="5" t="s">
        <v>65</v>
      </c>
      <c r="C24" s="5" t="s">
        <v>219</v>
      </c>
      <c r="D24" s="5" t="s">
        <v>509</v>
      </c>
      <c r="E24" s="5" t="s">
        <v>221</v>
      </c>
      <c r="F24" s="5" t="s">
        <v>510</v>
      </c>
      <c r="G24" s="11" t="s">
        <v>36</v>
      </c>
      <c r="H24" s="5" t="s">
        <v>284</v>
      </c>
    </row>
    <row r="25" spans="1:8" ht="15" customHeight="1" x14ac:dyDescent="0.35">
      <c r="A25" s="5" t="s">
        <v>504</v>
      </c>
      <c r="B25" s="5" t="s">
        <v>71</v>
      </c>
      <c r="C25" s="5" t="s">
        <v>234</v>
      </c>
      <c r="D25" s="5" t="s">
        <v>511</v>
      </c>
      <c r="E25" s="5" t="s">
        <v>512</v>
      </c>
      <c r="F25" s="5" t="s">
        <v>237</v>
      </c>
      <c r="G25" s="11" t="s">
        <v>36</v>
      </c>
      <c r="H25" s="5" t="s">
        <v>284</v>
      </c>
    </row>
    <row r="26" spans="1:8" ht="23.25" customHeight="1" x14ac:dyDescent="0.35">
      <c r="A26" s="5" t="s">
        <v>504</v>
      </c>
      <c r="B26" s="5" t="s">
        <v>168</v>
      </c>
      <c r="C26" s="5" t="s">
        <v>240</v>
      </c>
      <c r="D26" s="5" t="s">
        <v>513</v>
      </c>
      <c r="E26" s="5" t="s">
        <v>242</v>
      </c>
      <c r="F26" s="5" t="s">
        <v>514</v>
      </c>
      <c r="G26" s="11" t="s">
        <v>36</v>
      </c>
      <c r="H26" s="5" t="s">
        <v>284</v>
      </c>
    </row>
    <row r="27" spans="1:8" ht="15" customHeight="1" x14ac:dyDescent="0.35">
      <c r="A27" s="5" t="s">
        <v>504</v>
      </c>
      <c r="B27" s="5" t="s">
        <v>214</v>
      </c>
      <c r="C27" s="5" t="s">
        <v>515</v>
      </c>
      <c r="D27" s="5" t="s">
        <v>516</v>
      </c>
      <c r="E27" s="5" t="s">
        <v>517</v>
      </c>
      <c r="F27" s="5" t="s">
        <v>518</v>
      </c>
      <c r="G27" s="11" t="s">
        <v>36</v>
      </c>
      <c r="H27" s="5" t="s">
        <v>519</v>
      </c>
    </row>
    <row r="28" spans="1:8" ht="23.25" customHeight="1" x14ac:dyDescent="0.35">
      <c r="A28" s="5" t="s">
        <v>504</v>
      </c>
      <c r="B28" s="5" t="s">
        <v>299</v>
      </c>
      <c r="C28" s="5" t="s">
        <v>520</v>
      </c>
      <c r="D28" s="5" t="s">
        <v>521</v>
      </c>
      <c r="E28" s="5" t="s">
        <v>32</v>
      </c>
      <c r="F28" s="5" t="s">
        <v>129</v>
      </c>
      <c r="G28" s="12" t="s">
        <v>41</v>
      </c>
      <c r="H28" s="5" t="s">
        <v>522</v>
      </c>
    </row>
    <row r="29" spans="1:8" ht="15" customHeight="1" x14ac:dyDescent="0.35">
      <c r="A29" s="5" t="s">
        <v>504</v>
      </c>
      <c r="B29" s="5" t="s">
        <v>402</v>
      </c>
      <c r="C29" s="5" t="s">
        <v>403</v>
      </c>
      <c r="D29" s="5" t="s">
        <v>523</v>
      </c>
      <c r="E29" s="5" t="s">
        <v>32</v>
      </c>
      <c r="F29" s="5" t="s">
        <v>59</v>
      </c>
      <c r="G29" s="13" t="s">
        <v>52</v>
      </c>
      <c r="H29" s="5"/>
    </row>
    <row r="30" spans="1:8" ht="15" customHeight="1" x14ac:dyDescent="0.35">
      <c r="A30" s="5" t="s">
        <v>504</v>
      </c>
      <c r="B30" s="5" t="s">
        <v>313</v>
      </c>
      <c r="C30" s="5" t="s">
        <v>405</v>
      </c>
      <c r="D30" s="5" t="s">
        <v>524</v>
      </c>
      <c r="E30" s="5" t="s">
        <v>525</v>
      </c>
      <c r="F30" s="5" t="s">
        <v>526</v>
      </c>
      <c r="G30" s="11" t="s">
        <v>36</v>
      </c>
      <c r="H30" s="5" t="s">
        <v>284</v>
      </c>
    </row>
    <row r="31" spans="1:8" ht="15" customHeight="1" x14ac:dyDescent="0.35">
      <c r="A31" s="5" t="s">
        <v>504</v>
      </c>
      <c r="B31" s="5" t="s">
        <v>91</v>
      </c>
      <c r="C31" s="5" t="s">
        <v>252</v>
      </c>
      <c r="D31" s="5" t="s">
        <v>527</v>
      </c>
      <c r="E31" s="5" t="s">
        <v>32</v>
      </c>
      <c r="F31" s="5" t="s">
        <v>528</v>
      </c>
      <c r="G31" s="13" t="s">
        <v>52</v>
      </c>
      <c r="H31" s="5" t="s">
        <v>529</v>
      </c>
    </row>
    <row r="32" spans="1:8" ht="15" customHeight="1" x14ac:dyDescent="0.35">
      <c r="A32" s="5" t="s">
        <v>504</v>
      </c>
      <c r="B32" s="5" t="s">
        <v>107</v>
      </c>
      <c r="C32" s="5" t="s">
        <v>530</v>
      </c>
      <c r="D32" s="5" t="s">
        <v>531</v>
      </c>
      <c r="E32" s="5" t="s">
        <v>32</v>
      </c>
      <c r="F32" s="5" t="s">
        <v>532</v>
      </c>
      <c r="G32" s="12" t="s">
        <v>41</v>
      </c>
      <c r="H32" s="5"/>
    </row>
    <row r="33" spans="1:8" ht="15" customHeight="1" x14ac:dyDescent="0.35">
      <c r="A33" s="5" t="s">
        <v>504</v>
      </c>
      <c r="B33" s="5" t="s">
        <v>111</v>
      </c>
      <c r="C33" s="5" t="s">
        <v>533</v>
      </c>
      <c r="D33" s="5" t="s">
        <v>534</v>
      </c>
      <c r="E33" s="5" t="s">
        <v>535</v>
      </c>
      <c r="F33" s="5" t="s">
        <v>536</v>
      </c>
      <c r="G33" s="11" t="s">
        <v>36</v>
      </c>
      <c r="H33" s="5" t="s">
        <v>537</v>
      </c>
    </row>
    <row r="34" spans="1:8" ht="15" customHeight="1" x14ac:dyDescent="0.35">
      <c r="A34" s="5" t="s">
        <v>504</v>
      </c>
      <c r="B34" s="5" t="s">
        <v>325</v>
      </c>
      <c r="C34" s="5" t="s">
        <v>538</v>
      </c>
      <c r="D34" s="5" t="s">
        <v>539</v>
      </c>
      <c r="E34" s="5" t="s">
        <v>540</v>
      </c>
      <c r="F34" s="5" t="s">
        <v>71</v>
      </c>
      <c r="G34" s="13" t="s">
        <v>52</v>
      </c>
      <c r="H34" s="5"/>
    </row>
    <row r="35" spans="1:8" ht="15" customHeight="1" x14ac:dyDescent="0.35">
      <c r="A35" s="5" t="s">
        <v>541</v>
      </c>
      <c r="B35" s="5" t="s">
        <v>32</v>
      </c>
      <c r="C35" s="5" t="s">
        <v>542</v>
      </c>
      <c r="D35" s="5" t="s">
        <v>543</v>
      </c>
      <c r="E35" s="5" t="s">
        <v>544</v>
      </c>
      <c r="F35" s="5" t="s">
        <v>32</v>
      </c>
      <c r="G35" s="12" t="s">
        <v>41</v>
      </c>
      <c r="H35" s="5" t="s">
        <v>545</v>
      </c>
    </row>
    <row r="36" spans="1:8" ht="15" customHeight="1" x14ac:dyDescent="0.35">
      <c r="A36" s="5" t="s">
        <v>541</v>
      </c>
      <c r="B36" s="5" t="s">
        <v>32</v>
      </c>
      <c r="C36" s="5" t="s">
        <v>546</v>
      </c>
      <c r="D36" s="5" t="s">
        <v>547</v>
      </c>
      <c r="E36" s="5" t="s">
        <v>548</v>
      </c>
      <c r="F36" s="5" t="s">
        <v>32</v>
      </c>
      <c r="G36" s="13" t="s">
        <v>52</v>
      </c>
      <c r="H36" s="5" t="s">
        <v>549</v>
      </c>
    </row>
    <row r="37" spans="1:8" ht="15" customHeight="1" x14ac:dyDescent="0.35">
      <c r="A37" s="5" t="s">
        <v>541</v>
      </c>
      <c r="B37" s="5" t="s">
        <v>32</v>
      </c>
      <c r="C37" s="5" t="s">
        <v>550</v>
      </c>
      <c r="D37" s="5" t="s">
        <v>551</v>
      </c>
      <c r="E37" s="5" t="s">
        <v>302</v>
      </c>
      <c r="F37" s="5" t="s">
        <v>32</v>
      </c>
      <c r="G37" s="12" t="s">
        <v>41</v>
      </c>
      <c r="H37" s="5" t="s">
        <v>552</v>
      </c>
    </row>
    <row r="38" spans="1:8" ht="15" customHeight="1" x14ac:dyDescent="0.35">
      <c r="A38" s="5" t="s">
        <v>541</v>
      </c>
      <c r="B38" s="5" t="s">
        <v>32</v>
      </c>
      <c r="C38" s="5" t="s">
        <v>553</v>
      </c>
      <c r="D38" s="5" t="s">
        <v>554</v>
      </c>
      <c r="E38" s="5" t="s">
        <v>32</v>
      </c>
      <c r="F38" s="5" t="s">
        <v>32</v>
      </c>
      <c r="G38" s="12" t="s">
        <v>41</v>
      </c>
      <c r="H38" s="5" t="s">
        <v>555</v>
      </c>
    </row>
    <row r="39" spans="1:8" ht="15" customHeight="1" x14ac:dyDescent="0.35">
      <c r="A39" s="5" t="s">
        <v>541</v>
      </c>
      <c r="B39" s="5" t="s">
        <v>32</v>
      </c>
      <c r="C39" s="5" t="s">
        <v>556</v>
      </c>
      <c r="D39" s="5" t="s">
        <v>557</v>
      </c>
      <c r="E39" s="5" t="s">
        <v>558</v>
      </c>
      <c r="F39" s="5" t="s">
        <v>32</v>
      </c>
      <c r="G39" s="13" t="s">
        <v>52</v>
      </c>
      <c r="H39" s="5" t="s">
        <v>559</v>
      </c>
    </row>
    <row r="40" spans="1:8" ht="15" customHeight="1" x14ac:dyDescent="0.35">
      <c r="A40" s="5" t="s">
        <v>32</v>
      </c>
      <c r="B40" s="5" t="s">
        <v>32</v>
      </c>
      <c r="C40" s="5" t="s">
        <v>560</v>
      </c>
      <c r="D40" s="5" t="s">
        <v>561</v>
      </c>
      <c r="E40" s="5" t="s">
        <v>32</v>
      </c>
      <c r="F40" s="5" t="s">
        <v>32</v>
      </c>
      <c r="G40" s="11" t="s">
        <v>36</v>
      </c>
      <c r="H40" s="5" t="s">
        <v>562</v>
      </c>
    </row>
  </sheetData>
  <autoFilter ref="A4:H40"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
  <sheetViews>
    <sheetView zoomScaleNormal="100" workbookViewId="0">
      <pane ySplit="4" topLeftCell="A5" activePane="bottomLeft" state="frozen"/>
      <selection pane="bottomLeft"/>
    </sheetView>
  </sheetViews>
  <sheetFormatPr defaultColWidth="8.6328125" defaultRowHeight="14.5" x14ac:dyDescent="0.35"/>
  <cols>
    <col min="1" max="1" width="10" customWidth="1"/>
    <col min="2" max="2" width="9" customWidth="1"/>
    <col min="3" max="3" width="46" customWidth="1"/>
    <col min="4" max="5" width="40" customWidth="1"/>
  </cols>
  <sheetData>
    <row r="1" spans="1:5" ht="16.5" x14ac:dyDescent="0.35">
      <c r="A1" s="9" t="s">
        <v>563</v>
      </c>
    </row>
    <row r="2" spans="1:5" x14ac:dyDescent="0.35">
      <c r="A2" s="14" t="s">
        <v>564</v>
      </c>
    </row>
    <row r="4" spans="1:5" x14ac:dyDescent="0.35">
      <c r="A4" s="15" t="s">
        <v>23</v>
      </c>
      <c r="B4" s="15" t="s">
        <v>565</v>
      </c>
      <c r="C4" s="15" t="s">
        <v>566</v>
      </c>
      <c r="D4" s="15" t="s">
        <v>567</v>
      </c>
      <c r="E4" s="15" t="s">
        <v>568</v>
      </c>
    </row>
    <row r="5" spans="1:5" x14ac:dyDescent="0.35">
      <c r="A5" s="16" t="s">
        <v>569</v>
      </c>
      <c r="B5" s="16"/>
      <c r="C5" s="16"/>
      <c r="D5" s="16"/>
      <c r="E5" s="16"/>
    </row>
    <row r="6" spans="1:5" x14ac:dyDescent="0.35">
      <c r="A6" s="1" t="s">
        <v>570</v>
      </c>
      <c r="B6" s="1"/>
      <c r="C6" s="1"/>
      <c r="D6" s="1"/>
      <c r="E6" s="1"/>
    </row>
    <row r="7" spans="1:5" x14ac:dyDescent="0.35">
      <c r="A7" s="1" t="s">
        <v>571</v>
      </c>
      <c r="B7" s="1"/>
      <c r="C7" s="1"/>
      <c r="D7" s="1"/>
      <c r="E7" s="1"/>
    </row>
    <row r="8" spans="1:5" x14ac:dyDescent="0.35">
      <c r="A8" s="1" t="s">
        <v>572</v>
      </c>
      <c r="B8" s="1"/>
      <c r="C8" s="1"/>
      <c r="D8" s="1"/>
      <c r="E8" s="1"/>
    </row>
    <row r="9" spans="1:5" x14ac:dyDescent="0.35">
      <c r="A9" s="1" t="s">
        <v>573</v>
      </c>
      <c r="B9" s="1"/>
      <c r="C9" s="1"/>
      <c r="D9" s="1"/>
      <c r="E9" s="1"/>
    </row>
    <row r="10" spans="1:5" x14ac:dyDescent="0.35">
      <c r="A10" s="1" t="s">
        <v>574</v>
      </c>
      <c r="B10" s="1"/>
      <c r="C10" s="1"/>
      <c r="D10" s="1"/>
      <c r="E10" s="1"/>
    </row>
    <row r="11" spans="1:5" x14ac:dyDescent="0.35">
      <c r="A11" s="1" t="s">
        <v>575</v>
      </c>
      <c r="B11" s="1"/>
      <c r="C11" s="1"/>
      <c r="D11" s="1"/>
      <c r="E11" s="1"/>
    </row>
    <row r="12" spans="1:5" x14ac:dyDescent="0.35">
      <c r="A12" s="1" t="s">
        <v>576</v>
      </c>
      <c r="B12" s="1"/>
      <c r="C12" s="1"/>
      <c r="D12" s="1"/>
      <c r="E12" s="1"/>
    </row>
    <row r="13" spans="1:5" x14ac:dyDescent="0.35">
      <c r="A13" s="1" t="s">
        <v>577</v>
      </c>
      <c r="B13" s="1"/>
      <c r="C13" s="1"/>
      <c r="D13" s="1"/>
      <c r="E13" s="1"/>
    </row>
    <row r="14" spans="1:5" x14ac:dyDescent="0.35">
      <c r="A14" s="1" t="s">
        <v>266</v>
      </c>
      <c r="B14" s="1"/>
      <c r="C14" s="1"/>
      <c r="D14" s="1"/>
      <c r="E14" s="1"/>
    </row>
    <row r="16" spans="1:5" x14ac:dyDescent="0.35">
      <c r="A16" s="16" t="s">
        <v>578</v>
      </c>
      <c r="B16" s="16"/>
      <c r="C16" s="16"/>
      <c r="D16" s="16"/>
      <c r="E16" s="16"/>
    </row>
    <row r="17" spans="1:5" x14ac:dyDescent="0.35">
      <c r="A17" s="5" t="s">
        <v>43</v>
      </c>
      <c r="B17" s="5">
        <v>2</v>
      </c>
      <c r="C17" s="5" t="s">
        <v>51</v>
      </c>
      <c r="D17" s="5" t="s">
        <v>48</v>
      </c>
      <c r="E17" s="5" t="s">
        <v>49</v>
      </c>
    </row>
    <row r="18" spans="1:5" x14ac:dyDescent="0.35">
      <c r="A18" s="5" t="s">
        <v>43</v>
      </c>
      <c r="B18" s="5">
        <v>3</v>
      </c>
      <c r="C18" s="5" t="s">
        <v>57</v>
      </c>
      <c r="D18" s="5" t="s">
        <v>55</v>
      </c>
      <c r="E18" s="5" t="s">
        <v>56</v>
      </c>
    </row>
    <row r="19" spans="1:5" x14ac:dyDescent="0.35">
      <c r="A19" s="5" t="s">
        <v>43</v>
      </c>
      <c r="B19" s="5">
        <v>4</v>
      </c>
      <c r="C19" s="5" t="s">
        <v>63</v>
      </c>
      <c r="D19" s="5" t="s">
        <v>60</v>
      </c>
      <c r="E19" s="5" t="s">
        <v>61</v>
      </c>
    </row>
    <row r="20" spans="1:5" x14ac:dyDescent="0.35">
      <c r="A20" s="5" t="s">
        <v>43</v>
      </c>
      <c r="B20" s="5">
        <v>5</v>
      </c>
      <c r="C20" s="5" t="s">
        <v>69</v>
      </c>
      <c r="D20" s="5" t="s">
        <v>66</v>
      </c>
      <c r="E20" s="5" t="s">
        <v>67</v>
      </c>
    </row>
    <row r="21" spans="1:5" x14ac:dyDescent="0.35">
      <c r="A21" s="5" t="s">
        <v>43</v>
      </c>
      <c r="B21" s="5">
        <v>6</v>
      </c>
      <c r="C21" s="5" t="s">
        <v>63</v>
      </c>
      <c r="D21" s="5" t="s">
        <v>72</v>
      </c>
      <c r="E21" s="5" t="s">
        <v>73</v>
      </c>
    </row>
    <row r="22" spans="1:5" x14ac:dyDescent="0.35">
      <c r="A22" s="5" t="s">
        <v>43</v>
      </c>
      <c r="B22" s="5">
        <v>7</v>
      </c>
      <c r="C22" s="5" t="s">
        <v>51</v>
      </c>
      <c r="D22" s="5" t="s">
        <v>76</v>
      </c>
      <c r="E22" s="5" t="s">
        <v>77</v>
      </c>
    </row>
    <row r="23" spans="1:5" ht="25" x14ac:dyDescent="0.35">
      <c r="A23" s="5" t="s">
        <v>43</v>
      </c>
      <c r="B23" s="5">
        <v>11</v>
      </c>
      <c r="C23" s="5" t="s">
        <v>88</v>
      </c>
      <c r="D23" s="5" t="s">
        <v>85</v>
      </c>
      <c r="E23" s="5" t="s">
        <v>86</v>
      </c>
    </row>
    <row r="24" spans="1:5" x14ac:dyDescent="0.35">
      <c r="A24" s="5" t="s">
        <v>43</v>
      </c>
      <c r="B24" s="5">
        <v>21</v>
      </c>
      <c r="C24" s="5" t="s">
        <v>95</v>
      </c>
      <c r="D24" s="5" t="s">
        <v>92</v>
      </c>
      <c r="E24" s="5" t="s">
        <v>93</v>
      </c>
    </row>
    <row r="25" spans="1:5" x14ac:dyDescent="0.35">
      <c r="A25" s="5" t="s">
        <v>43</v>
      </c>
      <c r="B25" s="5">
        <v>22</v>
      </c>
      <c r="C25" s="5" t="s">
        <v>95</v>
      </c>
      <c r="D25" s="5" t="s">
        <v>98</v>
      </c>
      <c r="E25" s="5" t="s">
        <v>99</v>
      </c>
    </row>
    <row r="26" spans="1:5" x14ac:dyDescent="0.35">
      <c r="A26" s="5" t="s">
        <v>43</v>
      </c>
      <c r="B26" s="5">
        <v>24</v>
      </c>
      <c r="C26" s="5" t="s">
        <v>105</v>
      </c>
      <c r="D26" s="5" t="s">
        <v>102</v>
      </c>
      <c r="E26" s="5" t="s">
        <v>103</v>
      </c>
    </row>
    <row r="27" spans="1:5" x14ac:dyDescent="0.35">
      <c r="A27" s="5" t="s">
        <v>43</v>
      </c>
      <c r="B27" s="5">
        <v>25</v>
      </c>
      <c r="C27" s="5" t="s">
        <v>110</v>
      </c>
      <c r="D27" s="5" t="s">
        <v>108</v>
      </c>
      <c r="E27" s="5" t="s">
        <v>109</v>
      </c>
    </row>
    <row r="28" spans="1:5" x14ac:dyDescent="0.35">
      <c r="A28" s="5" t="s">
        <v>43</v>
      </c>
      <c r="B28" s="5">
        <v>26</v>
      </c>
      <c r="C28" s="5" t="s">
        <v>114</v>
      </c>
      <c r="D28" s="5" t="s">
        <v>112</v>
      </c>
      <c r="E28" s="5" t="s">
        <v>113</v>
      </c>
    </row>
    <row r="29" spans="1:5" x14ac:dyDescent="0.35">
      <c r="A29" s="5" t="s">
        <v>43</v>
      </c>
      <c r="B29" s="5">
        <v>27</v>
      </c>
      <c r="C29" s="5" t="s">
        <v>119</v>
      </c>
      <c r="D29" s="5" t="s">
        <v>116</v>
      </c>
      <c r="E29" s="5" t="s">
        <v>117</v>
      </c>
    </row>
    <row r="30" spans="1:5" x14ac:dyDescent="0.35">
      <c r="A30" s="5" t="s">
        <v>43</v>
      </c>
      <c r="B30" s="5">
        <v>28</v>
      </c>
      <c r="C30" s="5" t="s">
        <v>47</v>
      </c>
      <c r="D30" s="5" t="s">
        <v>122</v>
      </c>
      <c r="E30" s="5" t="s">
        <v>123</v>
      </c>
    </row>
    <row r="31" spans="1:5" x14ac:dyDescent="0.35">
      <c r="A31" s="5" t="s">
        <v>43</v>
      </c>
      <c r="B31" s="5">
        <v>29</v>
      </c>
      <c r="C31" s="5" t="s">
        <v>129</v>
      </c>
      <c r="D31" s="5" t="s">
        <v>127</v>
      </c>
      <c r="E31" s="5" t="s">
        <v>128</v>
      </c>
    </row>
    <row r="32" spans="1:5" x14ac:dyDescent="0.35">
      <c r="A32" s="5" t="s">
        <v>43</v>
      </c>
      <c r="B32" s="5">
        <v>31</v>
      </c>
      <c r="C32" s="5" t="s">
        <v>137</v>
      </c>
      <c r="D32" s="5" t="s">
        <v>135</v>
      </c>
      <c r="E32" s="5" t="s">
        <v>136</v>
      </c>
    </row>
    <row r="33" spans="1:5" ht="25" x14ac:dyDescent="0.35">
      <c r="A33" s="5" t="s">
        <v>43</v>
      </c>
      <c r="B33" s="5">
        <v>34</v>
      </c>
      <c r="C33" s="5" t="s">
        <v>143</v>
      </c>
      <c r="D33" s="5" t="s">
        <v>140</v>
      </c>
      <c r="E33" s="5" t="s">
        <v>141</v>
      </c>
    </row>
    <row r="34" spans="1:5" x14ac:dyDescent="0.35">
      <c r="A34" s="5" t="s">
        <v>145</v>
      </c>
      <c r="B34" s="5">
        <v>3</v>
      </c>
      <c r="C34" s="5" t="s">
        <v>150</v>
      </c>
      <c r="D34" s="5" t="s">
        <v>147</v>
      </c>
      <c r="E34" s="5" t="s">
        <v>148</v>
      </c>
    </row>
    <row r="35" spans="1:5" x14ac:dyDescent="0.35">
      <c r="A35" s="5" t="s">
        <v>145</v>
      </c>
      <c r="B35" s="5">
        <v>4</v>
      </c>
      <c r="C35" s="5" t="s">
        <v>155</v>
      </c>
      <c r="D35" s="5" t="s">
        <v>152</v>
      </c>
      <c r="E35" s="5" t="s">
        <v>153</v>
      </c>
    </row>
    <row r="36" spans="1:5" x14ac:dyDescent="0.35">
      <c r="A36" s="5" t="s">
        <v>145</v>
      </c>
      <c r="B36" s="5">
        <v>5</v>
      </c>
      <c r="C36" s="5" t="s">
        <v>160</v>
      </c>
      <c r="D36" s="5" t="s">
        <v>157</v>
      </c>
      <c r="E36" s="5" t="s">
        <v>158</v>
      </c>
    </row>
    <row r="37" spans="1:5" x14ac:dyDescent="0.35">
      <c r="A37" s="5" t="s">
        <v>145</v>
      </c>
      <c r="B37" s="5">
        <v>7</v>
      </c>
      <c r="C37" s="5" t="s">
        <v>167</v>
      </c>
      <c r="D37" s="5" t="s">
        <v>164</v>
      </c>
      <c r="E37" s="5" t="s">
        <v>165</v>
      </c>
    </row>
    <row r="38" spans="1:5" x14ac:dyDescent="0.35">
      <c r="A38" s="5" t="s">
        <v>145</v>
      </c>
      <c r="B38" s="5">
        <v>8</v>
      </c>
      <c r="C38" s="5" t="s">
        <v>172</v>
      </c>
      <c r="D38" s="5" t="s">
        <v>169</v>
      </c>
      <c r="E38" s="5" t="s">
        <v>170</v>
      </c>
    </row>
    <row r="39" spans="1:5" x14ac:dyDescent="0.35">
      <c r="A39" s="5" t="s">
        <v>145</v>
      </c>
      <c r="B39" s="5">
        <v>9</v>
      </c>
      <c r="C39" s="5" t="s">
        <v>177</v>
      </c>
      <c r="D39" s="5" t="s">
        <v>174</v>
      </c>
      <c r="E39" s="5" t="s">
        <v>175</v>
      </c>
    </row>
    <row r="40" spans="1:5" ht="25" x14ac:dyDescent="0.35">
      <c r="A40" s="5" t="s">
        <v>189</v>
      </c>
      <c r="B40" s="5">
        <v>2</v>
      </c>
      <c r="C40" s="5" t="s">
        <v>143</v>
      </c>
      <c r="D40" s="5" t="s">
        <v>190</v>
      </c>
      <c r="E40" s="5" t="s">
        <v>191</v>
      </c>
    </row>
    <row r="41" spans="1:5" ht="25" x14ac:dyDescent="0.35">
      <c r="A41" s="5" t="s">
        <v>189</v>
      </c>
      <c r="B41" s="5">
        <v>2</v>
      </c>
      <c r="C41" s="5" t="s">
        <v>193</v>
      </c>
      <c r="D41" s="5" t="s">
        <v>190</v>
      </c>
      <c r="E41" s="5" t="s">
        <v>191</v>
      </c>
    </row>
    <row r="42" spans="1:5" ht="25" x14ac:dyDescent="0.35">
      <c r="A42" s="5" t="s">
        <v>189</v>
      </c>
      <c r="B42" s="5">
        <v>2</v>
      </c>
      <c r="C42" s="5" t="s">
        <v>579</v>
      </c>
      <c r="D42" s="5" t="s">
        <v>190</v>
      </c>
      <c r="E42" s="5" t="s">
        <v>191</v>
      </c>
    </row>
    <row r="43" spans="1:5" ht="25" x14ac:dyDescent="0.35">
      <c r="A43" s="5" t="s">
        <v>189</v>
      </c>
      <c r="B43" s="5">
        <v>2</v>
      </c>
      <c r="C43" s="5" t="s">
        <v>580</v>
      </c>
      <c r="D43" s="5" t="s">
        <v>190</v>
      </c>
      <c r="E43" s="5" t="s">
        <v>191</v>
      </c>
    </row>
    <row r="44" spans="1:5" x14ac:dyDescent="0.35">
      <c r="A44" s="5" t="s">
        <v>218</v>
      </c>
      <c r="B44" s="5">
        <v>3</v>
      </c>
      <c r="C44" s="5" t="s">
        <v>226</v>
      </c>
      <c r="D44" s="5" t="s">
        <v>223</v>
      </c>
      <c r="E44" s="5" t="s">
        <v>224</v>
      </c>
    </row>
    <row r="45" spans="1:5" x14ac:dyDescent="0.35">
      <c r="A45" s="5" t="s">
        <v>218</v>
      </c>
      <c r="B45" s="5">
        <v>6</v>
      </c>
      <c r="C45" s="5" t="s">
        <v>237</v>
      </c>
      <c r="D45" s="5" t="s">
        <v>234</v>
      </c>
      <c r="E45" s="5" t="s">
        <v>235</v>
      </c>
    </row>
    <row r="46" spans="1:5" x14ac:dyDescent="0.35">
      <c r="A46" s="5" t="s">
        <v>218</v>
      </c>
      <c r="B46" s="5">
        <v>7</v>
      </c>
      <c r="C46" s="5" t="s">
        <v>237</v>
      </c>
      <c r="D46" s="5" t="s">
        <v>239</v>
      </c>
      <c r="E46" s="5" t="s">
        <v>235</v>
      </c>
    </row>
    <row r="47" spans="1:5" ht="25" x14ac:dyDescent="0.35">
      <c r="A47" s="5" t="s">
        <v>218</v>
      </c>
      <c r="B47" s="5">
        <v>8</v>
      </c>
      <c r="C47" s="5" t="s">
        <v>581</v>
      </c>
      <c r="D47" s="5" t="s">
        <v>240</v>
      </c>
      <c r="E47" s="5" t="s">
        <v>241</v>
      </c>
    </row>
    <row r="48" spans="1:5" x14ac:dyDescent="0.35">
      <c r="A48" s="5" t="s">
        <v>218</v>
      </c>
      <c r="B48" s="5">
        <v>12</v>
      </c>
      <c r="C48" s="5" t="s">
        <v>249</v>
      </c>
      <c r="D48" s="5" t="s">
        <v>246</v>
      </c>
      <c r="E48" s="5" t="s">
        <v>247</v>
      </c>
    </row>
    <row r="49" spans="1:5" x14ac:dyDescent="0.35">
      <c r="A49" s="5" t="s">
        <v>218</v>
      </c>
      <c r="B49" s="5">
        <v>19</v>
      </c>
      <c r="C49" s="5" t="s">
        <v>255</v>
      </c>
      <c r="D49" s="5" t="s">
        <v>252</v>
      </c>
      <c r="E49" s="5" t="s">
        <v>253</v>
      </c>
    </row>
    <row r="50" spans="1:5" x14ac:dyDescent="0.35">
      <c r="A50" s="5" t="s">
        <v>218</v>
      </c>
      <c r="B50" s="5">
        <v>26</v>
      </c>
      <c r="C50" s="5" t="s">
        <v>129</v>
      </c>
      <c r="D50" s="5" t="s">
        <v>260</v>
      </c>
      <c r="E50" s="5" t="s">
        <v>32</v>
      </c>
    </row>
  </sheetData>
  <mergeCells count="9">
    <mergeCell ref="A11:E11"/>
    <mergeCell ref="A12:E12"/>
    <mergeCell ref="A13:E13"/>
    <mergeCell ref="A14:E14"/>
    <mergeCell ref="A6:E6"/>
    <mergeCell ref="A7:E7"/>
    <mergeCell ref="A8:E8"/>
    <mergeCell ref="A9:E9"/>
    <mergeCell ref="A10:E1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8"/>
  <sheetViews>
    <sheetView zoomScaleNormal="100" workbookViewId="0">
      <pane ySplit="4" topLeftCell="A5" activePane="bottomLeft" state="frozen"/>
      <selection pane="bottomLeft"/>
    </sheetView>
  </sheetViews>
  <sheetFormatPr defaultColWidth="8.6328125" defaultRowHeight="14.5" x14ac:dyDescent="0.35"/>
  <cols>
    <col min="1" max="1" width="6" customWidth="1"/>
    <col min="2" max="2" width="90" customWidth="1"/>
    <col min="3" max="3" width="40" customWidth="1"/>
  </cols>
  <sheetData>
    <row r="1" spans="1:3" ht="16.5" x14ac:dyDescent="0.35">
      <c r="A1" s="9" t="s">
        <v>582</v>
      </c>
    </row>
    <row r="2" spans="1:3" x14ac:dyDescent="0.35">
      <c r="A2" s="14" t="s">
        <v>583</v>
      </c>
    </row>
    <row r="4" spans="1:3" x14ac:dyDescent="0.35">
      <c r="A4" s="15" t="s">
        <v>584</v>
      </c>
      <c r="B4" s="15" t="s">
        <v>585</v>
      </c>
      <c r="C4" s="15" t="s">
        <v>586</v>
      </c>
    </row>
    <row r="5" spans="1:3" x14ac:dyDescent="0.35">
      <c r="A5" s="5">
        <v>1</v>
      </c>
      <c r="B5" s="17" t="s">
        <v>587</v>
      </c>
      <c r="C5" s="5" t="s">
        <v>588</v>
      </c>
    </row>
    <row r="6" spans="1:3" x14ac:dyDescent="0.35">
      <c r="A6" s="5">
        <v>2</v>
      </c>
      <c r="B6" s="17" t="s">
        <v>589</v>
      </c>
      <c r="C6" s="5"/>
    </row>
    <row r="7" spans="1:3" x14ac:dyDescent="0.35">
      <c r="A7" s="5">
        <v>3</v>
      </c>
      <c r="B7" s="17" t="s">
        <v>590</v>
      </c>
      <c r="C7" s="5"/>
    </row>
    <row r="8" spans="1:3" x14ac:dyDescent="0.35">
      <c r="A8" s="5">
        <v>4</v>
      </c>
      <c r="B8" s="17" t="s">
        <v>591</v>
      </c>
      <c r="C8" s="5" t="s">
        <v>592</v>
      </c>
    </row>
    <row r="9" spans="1:3" x14ac:dyDescent="0.35">
      <c r="A9" s="5">
        <v>5</v>
      </c>
      <c r="B9" s="17" t="s">
        <v>593</v>
      </c>
      <c r="C9" s="5"/>
    </row>
    <row r="10" spans="1:3" x14ac:dyDescent="0.35">
      <c r="A10" s="5">
        <v>6</v>
      </c>
      <c r="B10" s="17" t="s">
        <v>594</v>
      </c>
      <c r="C10" s="5" t="s">
        <v>595</v>
      </c>
    </row>
    <row r="11" spans="1:3" x14ac:dyDescent="0.35">
      <c r="A11" s="5">
        <v>7</v>
      </c>
      <c r="B11" s="17" t="s">
        <v>596</v>
      </c>
      <c r="C11" s="5" t="s">
        <v>595</v>
      </c>
    </row>
    <row r="12" spans="1:3" x14ac:dyDescent="0.35">
      <c r="A12" s="5">
        <v>8</v>
      </c>
      <c r="B12" s="17" t="s">
        <v>597</v>
      </c>
      <c r="C12" s="5" t="s">
        <v>595</v>
      </c>
    </row>
    <row r="13" spans="1:3" x14ac:dyDescent="0.35">
      <c r="A13" s="5">
        <v>9</v>
      </c>
      <c r="B13" s="17" t="s">
        <v>598</v>
      </c>
      <c r="C13" s="5" t="s">
        <v>595</v>
      </c>
    </row>
    <row r="14" spans="1:3" x14ac:dyDescent="0.35">
      <c r="A14" s="5">
        <v>10</v>
      </c>
      <c r="B14" s="17" t="s">
        <v>599</v>
      </c>
      <c r="C14" s="5" t="s">
        <v>600</v>
      </c>
    </row>
    <row r="15" spans="1:3" x14ac:dyDescent="0.35">
      <c r="A15" s="5">
        <v>11</v>
      </c>
      <c r="B15" s="17" t="s">
        <v>601</v>
      </c>
      <c r="C15" s="5" t="s">
        <v>602</v>
      </c>
    </row>
    <row r="16" spans="1:3" x14ac:dyDescent="0.35">
      <c r="A16" s="5">
        <v>12</v>
      </c>
      <c r="B16" s="17" t="s">
        <v>603</v>
      </c>
      <c r="C16" s="5" t="s">
        <v>604</v>
      </c>
    </row>
    <row r="17" spans="1:3" x14ac:dyDescent="0.35">
      <c r="A17" s="5">
        <v>13</v>
      </c>
      <c r="B17" s="17" t="s">
        <v>605</v>
      </c>
      <c r="C17" s="5" t="s">
        <v>606</v>
      </c>
    </row>
    <row r="18" spans="1:3" x14ac:dyDescent="0.35">
      <c r="A18" s="5">
        <v>14</v>
      </c>
      <c r="B18" s="17" t="s">
        <v>607</v>
      </c>
      <c r="C18" s="5" t="s">
        <v>606</v>
      </c>
    </row>
    <row r="19" spans="1:3" x14ac:dyDescent="0.35">
      <c r="A19" s="5">
        <v>15</v>
      </c>
      <c r="B19" s="17" t="s">
        <v>608</v>
      </c>
      <c r="C19" s="5" t="s">
        <v>606</v>
      </c>
    </row>
    <row r="20" spans="1:3" x14ac:dyDescent="0.35">
      <c r="A20" s="5">
        <v>16</v>
      </c>
      <c r="B20" s="17" t="s">
        <v>609</v>
      </c>
      <c r="C20" s="5" t="s">
        <v>610</v>
      </c>
    </row>
    <row r="21" spans="1:3" x14ac:dyDescent="0.35">
      <c r="A21" s="5">
        <v>17</v>
      </c>
      <c r="B21" s="17" t="s">
        <v>611</v>
      </c>
      <c r="C21" s="5" t="s">
        <v>612</v>
      </c>
    </row>
    <row r="22" spans="1:3" x14ac:dyDescent="0.35">
      <c r="A22" s="5">
        <v>18</v>
      </c>
      <c r="B22" s="17" t="s">
        <v>613</v>
      </c>
      <c r="C22" s="5" t="s">
        <v>614</v>
      </c>
    </row>
    <row r="23" spans="1:3" x14ac:dyDescent="0.35">
      <c r="A23" s="5">
        <v>19</v>
      </c>
      <c r="B23" s="17" t="s">
        <v>615</v>
      </c>
      <c r="C23" s="5" t="s">
        <v>614</v>
      </c>
    </row>
    <row r="24" spans="1:3" ht="24" x14ac:dyDescent="0.35">
      <c r="A24" s="5">
        <v>20</v>
      </c>
      <c r="B24" s="17" t="s">
        <v>616</v>
      </c>
      <c r="C24" s="5" t="s">
        <v>617</v>
      </c>
    </row>
    <row r="25" spans="1:3" x14ac:dyDescent="0.35">
      <c r="A25" s="5">
        <v>21</v>
      </c>
      <c r="B25" s="17" t="s">
        <v>618</v>
      </c>
      <c r="C25" s="5"/>
    </row>
    <row r="26" spans="1:3" x14ac:dyDescent="0.35">
      <c r="A26" s="5">
        <v>22</v>
      </c>
      <c r="B26" s="17" t="s">
        <v>619</v>
      </c>
      <c r="C26" s="5" t="s">
        <v>620</v>
      </c>
    </row>
    <row r="27" spans="1:3" x14ac:dyDescent="0.35">
      <c r="A27" s="5">
        <v>23</v>
      </c>
      <c r="B27" s="17" t="s">
        <v>621</v>
      </c>
      <c r="C27" s="5"/>
    </row>
    <row r="28" spans="1:3" ht="24" x14ac:dyDescent="0.35">
      <c r="A28" s="5">
        <v>24</v>
      </c>
      <c r="B28" s="17" t="s">
        <v>622</v>
      </c>
      <c r="C28" s="5" t="s">
        <v>617</v>
      </c>
    </row>
    <row r="29" spans="1:3" x14ac:dyDescent="0.35">
      <c r="A29" s="5">
        <v>25</v>
      </c>
      <c r="B29" s="17" t="s">
        <v>618</v>
      </c>
      <c r="C29" s="5"/>
    </row>
    <row r="30" spans="1:3" x14ac:dyDescent="0.35">
      <c r="A30" s="5">
        <v>26</v>
      </c>
      <c r="B30" s="17" t="s">
        <v>623</v>
      </c>
      <c r="C30" s="5" t="s">
        <v>620</v>
      </c>
    </row>
    <row r="31" spans="1:3" x14ac:dyDescent="0.35">
      <c r="A31" s="5">
        <v>27</v>
      </c>
      <c r="B31" s="17" t="s">
        <v>624</v>
      </c>
      <c r="C31" s="5"/>
    </row>
    <row r="32" spans="1:3" ht="24" x14ac:dyDescent="0.35">
      <c r="A32" s="5">
        <v>28</v>
      </c>
      <c r="B32" s="17" t="s">
        <v>625</v>
      </c>
      <c r="C32" s="5" t="s">
        <v>617</v>
      </c>
    </row>
    <row r="33" spans="1:3" x14ac:dyDescent="0.35">
      <c r="A33" s="5">
        <v>29</v>
      </c>
      <c r="B33" s="17" t="s">
        <v>618</v>
      </c>
      <c r="C33" s="5"/>
    </row>
    <row r="34" spans="1:3" x14ac:dyDescent="0.35">
      <c r="A34" s="5">
        <v>30</v>
      </c>
      <c r="B34" s="17" t="s">
        <v>626</v>
      </c>
      <c r="C34" s="5" t="s">
        <v>620</v>
      </c>
    </row>
    <row r="35" spans="1:3" x14ac:dyDescent="0.35">
      <c r="A35" s="5">
        <v>31</v>
      </c>
      <c r="B35" s="17" t="s">
        <v>627</v>
      </c>
      <c r="C35" s="5"/>
    </row>
    <row r="36" spans="1:3" ht="24" x14ac:dyDescent="0.35">
      <c r="A36" s="5">
        <v>32</v>
      </c>
      <c r="B36" s="17" t="s">
        <v>628</v>
      </c>
      <c r="C36" s="5" t="s">
        <v>617</v>
      </c>
    </row>
    <row r="37" spans="1:3" x14ac:dyDescent="0.35">
      <c r="A37" s="5">
        <v>33</v>
      </c>
      <c r="B37" s="17" t="s">
        <v>618</v>
      </c>
      <c r="C37" s="5"/>
    </row>
    <row r="38" spans="1:3" x14ac:dyDescent="0.35">
      <c r="A38" s="5">
        <v>34</v>
      </c>
      <c r="B38" s="17" t="s">
        <v>619</v>
      </c>
      <c r="C38" s="5" t="s">
        <v>620</v>
      </c>
    </row>
    <row r="39" spans="1:3" x14ac:dyDescent="0.35">
      <c r="A39" s="5">
        <v>35</v>
      </c>
      <c r="B39" s="17" t="s">
        <v>621</v>
      </c>
      <c r="C39" s="5"/>
    </row>
    <row r="40" spans="1:3" ht="24" x14ac:dyDescent="0.35">
      <c r="A40" s="5">
        <v>36</v>
      </c>
      <c r="B40" s="17" t="s">
        <v>629</v>
      </c>
      <c r="C40" s="5" t="s">
        <v>617</v>
      </c>
    </row>
    <row r="41" spans="1:3" x14ac:dyDescent="0.35">
      <c r="A41" s="5">
        <v>37</v>
      </c>
      <c r="B41" s="17" t="s">
        <v>618</v>
      </c>
      <c r="C41" s="5"/>
    </row>
    <row r="42" spans="1:3" x14ac:dyDescent="0.35">
      <c r="A42" s="5">
        <v>38</v>
      </c>
      <c r="B42" s="17" t="s">
        <v>630</v>
      </c>
      <c r="C42" s="5" t="s">
        <v>620</v>
      </c>
    </row>
    <row r="43" spans="1:3" x14ac:dyDescent="0.35">
      <c r="A43" s="5">
        <v>39</v>
      </c>
      <c r="B43" s="17" t="s">
        <v>631</v>
      </c>
      <c r="C43" s="5"/>
    </row>
    <row r="44" spans="1:3" ht="24" x14ac:dyDescent="0.35">
      <c r="A44" s="5">
        <v>40</v>
      </c>
      <c r="B44" s="17" t="s">
        <v>632</v>
      </c>
      <c r="C44" s="5" t="s">
        <v>617</v>
      </c>
    </row>
    <row r="45" spans="1:3" x14ac:dyDescent="0.35">
      <c r="A45" s="5">
        <v>41</v>
      </c>
      <c r="B45" s="17" t="s">
        <v>618</v>
      </c>
      <c r="C45" s="5"/>
    </row>
    <row r="46" spans="1:3" x14ac:dyDescent="0.35">
      <c r="A46" s="5">
        <v>42</v>
      </c>
      <c r="B46" s="17" t="s">
        <v>633</v>
      </c>
      <c r="C46" s="5" t="s">
        <v>620</v>
      </c>
    </row>
    <row r="47" spans="1:3" x14ac:dyDescent="0.35">
      <c r="A47" s="5">
        <v>43</v>
      </c>
      <c r="B47" s="17" t="s">
        <v>634</v>
      </c>
      <c r="C47" s="5"/>
    </row>
    <row r="48" spans="1:3" ht="24" x14ac:dyDescent="0.35">
      <c r="A48" s="5">
        <v>44</v>
      </c>
      <c r="B48" s="17" t="s">
        <v>635</v>
      </c>
      <c r="C48" s="5" t="s">
        <v>617</v>
      </c>
    </row>
    <row r="49" spans="1:3" x14ac:dyDescent="0.35">
      <c r="A49" s="5">
        <v>45</v>
      </c>
      <c r="B49" s="17" t="s">
        <v>618</v>
      </c>
      <c r="C49" s="5"/>
    </row>
    <row r="50" spans="1:3" x14ac:dyDescent="0.35">
      <c r="A50" s="5">
        <v>46</v>
      </c>
      <c r="B50" s="17" t="s">
        <v>636</v>
      </c>
      <c r="C50" s="5" t="s">
        <v>620</v>
      </c>
    </row>
    <row r="51" spans="1:3" x14ac:dyDescent="0.35">
      <c r="A51" s="5">
        <v>47</v>
      </c>
      <c r="B51" s="17" t="s">
        <v>637</v>
      </c>
      <c r="C51" s="5"/>
    </row>
    <row r="52" spans="1:3" ht="24" x14ac:dyDescent="0.35">
      <c r="A52" s="5">
        <v>48</v>
      </c>
      <c r="B52" s="17" t="s">
        <v>638</v>
      </c>
      <c r="C52" s="5" t="s">
        <v>617</v>
      </c>
    </row>
    <row r="53" spans="1:3" x14ac:dyDescent="0.35">
      <c r="A53" s="5">
        <v>49</v>
      </c>
      <c r="B53" s="17" t="s">
        <v>618</v>
      </c>
      <c r="C53" s="5"/>
    </row>
    <row r="54" spans="1:3" x14ac:dyDescent="0.35">
      <c r="A54" s="5">
        <v>50</v>
      </c>
      <c r="B54" s="17" t="s">
        <v>639</v>
      </c>
      <c r="C54" s="5" t="s">
        <v>620</v>
      </c>
    </row>
    <row r="55" spans="1:3" x14ac:dyDescent="0.35">
      <c r="A55" s="5">
        <v>51</v>
      </c>
      <c r="B55" s="17" t="s">
        <v>640</v>
      </c>
      <c r="C55" s="5"/>
    </row>
    <row r="56" spans="1:3" ht="24" x14ac:dyDescent="0.35">
      <c r="A56" s="5">
        <v>52</v>
      </c>
      <c r="B56" s="17" t="s">
        <v>641</v>
      </c>
      <c r="C56" s="5" t="s">
        <v>617</v>
      </c>
    </row>
    <row r="57" spans="1:3" x14ac:dyDescent="0.35">
      <c r="A57" s="5">
        <v>53</v>
      </c>
      <c r="B57" s="17" t="s">
        <v>618</v>
      </c>
      <c r="C57" s="5"/>
    </row>
    <row r="58" spans="1:3" x14ac:dyDescent="0.35">
      <c r="A58" s="5">
        <v>54</v>
      </c>
      <c r="B58" s="17" t="s">
        <v>642</v>
      </c>
      <c r="C58" s="5" t="s">
        <v>620</v>
      </c>
    </row>
    <row r="59" spans="1:3" x14ac:dyDescent="0.35">
      <c r="A59" s="5">
        <v>55</v>
      </c>
      <c r="B59" s="17" t="s">
        <v>643</v>
      </c>
      <c r="C59" s="5"/>
    </row>
    <row r="60" spans="1:3" ht="24" x14ac:dyDescent="0.35">
      <c r="A60" s="5">
        <v>56</v>
      </c>
      <c r="B60" s="17" t="s">
        <v>644</v>
      </c>
      <c r="C60" s="5" t="s">
        <v>617</v>
      </c>
    </row>
    <row r="61" spans="1:3" x14ac:dyDescent="0.35">
      <c r="A61" s="5">
        <v>57</v>
      </c>
      <c r="B61" s="17" t="s">
        <v>618</v>
      </c>
      <c r="C61" s="5"/>
    </row>
    <row r="62" spans="1:3" x14ac:dyDescent="0.35">
      <c r="A62" s="5">
        <v>58</v>
      </c>
      <c r="B62" s="17" t="s">
        <v>645</v>
      </c>
      <c r="C62" s="5" t="s">
        <v>620</v>
      </c>
    </row>
    <row r="63" spans="1:3" x14ac:dyDescent="0.35">
      <c r="A63" s="5">
        <v>59</v>
      </c>
      <c r="B63" s="17" t="s">
        <v>646</v>
      </c>
      <c r="C63" s="5"/>
    </row>
    <row r="64" spans="1:3" x14ac:dyDescent="0.35">
      <c r="A64" s="5">
        <v>60</v>
      </c>
      <c r="B64" s="17" t="s">
        <v>647</v>
      </c>
      <c r="C64" s="5"/>
    </row>
    <row r="65" spans="1:3" x14ac:dyDescent="0.35">
      <c r="A65" s="5">
        <v>61</v>
      </c>
      <c r="B65" s="17" t="s">
        <v>648</v>
      </c>
      <c r="C65" s="5"/>
    </row>
    <row r="66" spans="1:3" x14ac:dyDescent="0.35">
      <c r="A66" s="5">
        <v>62</v>
      </c>
      <c r="B66" s="17" t="s">
        <v>649</v>
      </c>
      <c r="C66" s="5"/>
    </row>
    <row r="67" spans="1:3" x14ac:dyDescent="0.35">
      <c r="A67" s="5">
        <v>63</v>
      </c>
      <c r="B67" s="17" t="s">
        <v>650</v>
      </c>
      <c r="C67" s="5"/>
    </row>
    <row r="68" spans="1:3" x14ac:dyDescent="0.35">
      <c r="A68" s="5">
        <v>64</v>
      </c>
      <c r="B68" s="17" t="s">
        <v>651</v>
      </c>
      <c r="C68" s="5"/>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5"/>
  <sheetViews>
    <sheetView zoomScaleNormal="100" workbookViewId="0">
      <pane ySplit="4" topLeftCell="A5" activePane="bottomLeft" state="frozen"/>
      <selection pane="bottomLeft"/>
    </sheetView>
  </sheetViews>
  <sheetFormatPr defaultColWidth="8.6328125" defaultRowHeight="14.5" x14ac:dyDescent="0.35"/>
  <cols>
    <col min="1" max="1" width="22" customWidth="1"/>
    <col min="2" max="2" width="46" customWidth="1"/>
    <col min="3" max="3" width="40" customWidth="1"/>
    <col min="4" max="4" width="8" customWidth="1"/>
  </cols>
  <sheetData>
    <row r="1" spans="1:4" ht="16.5" x14ac:dyDescent="0.35">
      <c r="A1" s="9" t="s">
        <v>652</v>
      </c>
    </row>
    <row r="2" spans="1:4" x14ac:dyDescent="0.35">
      <c r="A2" s="14" t="s">
        <v>653</v>
      </c>
    </row>
    <row r="4" spans="1:4" x14ac:dyDescent="0.35">
      <c r="A4" s="15" t="s">
        <v>24</v>
      </c>
      <c r="B4" s="15" t="s">
        <v>654</v>
      </c>
      <c r="C4" s="15" t="s">
        <v>655</v>
      </c>
      <c r="D4" s="15" t="s">
        <v>656</v>
      </c>
    </row>
    <row r="5" spans="1:4" x14ac:dyDescent="0.35">
      <c r="A5" s="5" t="s">
        <v>66</v>
      </c>
      <c r="B5" s="5" t="s">
        <v>657</v>
      </c>
      <c r="C5" s="5" t="s">
        <v>658</v>
      </c>
      <c r="D5" s="5" t="s">
        <v>659</v>
      </c>
    </row>
    <row r="6" spans="1:4" x14ac:dyDescent="0.35">
      <c r="A6" s="5" t="s">
        <v>60</v>
      </c>
      <c r="B6" s="5" t="s">
        <v>660</v>
      </c>
      <c r="C6" s="5" t="s">
        <v>661</v>
      </c>
      <c r="D6" s="5" t="s">
        <v>659</v>
      </c>
    </row>
    <row r="7" spans="1:4" x14ac:dyDescent="0.35">
      <c r="A7" s="5" t="s">
        <v>662</v>
      </c>
      <c r="B7" s="5" t="s">
        <v>663</v>
      </c>
      <c r="C7" s="5" t="s">
        <v>664</v>
      </c>
      <c r="D7" s="5" t="s">
        <v>659</v>
      </c>
    </row>
    <row r="8" spans="1:4" x14ac:dyDescent="0.35">
      <c r="A8" s="5" t="s">
        <v>152</v>
      </c>
      <c r="B8" s="5" t="s">
        <v>665</v>
      </c>
      <c r="C8" s="5" t="s">
        <v>666</v>
      </c>
      <c r="D8" s="5" t="s">
        <v>659</v>
      </c>
    </row>
    <row r="9" spans="1:4" ht="25" x14ac:dyDescent="0.35">
      <c r="A9" s="5" t="s">
        <v>667</v>
      </c>
      <c r="B9" s="5" t="s">
        <v>668</v>
      </c>
      <c r="C9" s="5" t="s">
        <v>669</v>
      </c>
      <c r="D9" s="5" t="s">
        <v>659</v>
      </c>
    </row>
    <row r="10" spans="1:4" x14ac:dyDescent="0.35">
      <c r="A10" s="5" t="s">
        <v>670</v>
      </c>
      <c r="B10" s="5" t="s">
        <v>671</v>
      </c>
      <c r="C10" s="5" t="s">
        <v>672</v>
      </c>
      <c r="D10" s="5" t="s">
        <v>659</v>
      </c>
    </row>
    <row r="11" spans="1:4" x14ac:dyDescent="0.35">
      <c r="A11" s="5" t="s">
        <v>673</v>
      </c>
      <c r="B11" s="5" t="s">
        <v>674</v>
      </c>
      <c r="C11" s="5" t="s">
        <v>672</v>
      </c>
      <c r="D11" s="5" t="s">
        <v>659</v>
      </c>
    </row>
    <row r="12" spans="1:4" x14ac:dyDescent="0.35">
      <c r="A12" s="5" t="s">
        <v>675</v>
      </c>
      <c r="B12" s="5" t="s">
        <v>676</v>
      </c>
      <c r="C12" s="5" t="s">
        <v>677</v>
      </c>
      <c r="D12" s="5" t="s">
        <v>659</v>
      </c>
    </row>
    <row r="13" spans="1:4" x14ac:dyDescent="0.35">
      <c r="A13" s="5" t="s">
        <v>678</v>
      </c>
      <c r="B13" s="5" t="s">
        <v>679</v>
      </c>
      <c r="C13" s="5" t="s">
        <v>680</v>
      </c>
      <c r="D13" s="5" t="s">
        <v>659</v>
      </c>
    </row>
    <row r="14" spans="1:4" x14ac:dyDescent="0.35">
      <c r="A14" s="5" t="s">
        <v>681</v>
      </c>
      <c r="B14" s="5" t="s">
        <v>682</v>
      </c>
      <c r="C14" s="5" t="s">
        <v>683</v>
      </c>
      <c r="D14" s="5" t="s">
        <v>32</v>
      </c>
    </row>
    <row r="15" spans="1:4" ht="37.5" x14ac:dyDescent="0.35">
      <c r="A15" s="5" t="s">
        <v>684</v>
      </c>
      <c r="B15" s="5" t="s">
        <v>685</v>
      </c>
      <c r="C15" s="5" t="s">
        <v>686</v>
      </c>
      <c r="D15" s="5" t="s">
        <v>32</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32"/>
  <sheetViews>
    <sheetView zoomScaleNormal="100" workbookViewId="0">
      <pane ySplit="4" topLeftCell="A5" activePane="bottomLeft" state="frozen"/>
      <selection pane="bottomLeft"/>
    </sheetView>
  </sheetViews>
  <sheetFormatPr defaultColWidth="8.6328125" defaultRowHeight="14.5" x14ac:dyDescent="0.35"/>
  <cols>
    <col min="1" max="1" width="7" customWidth="1"/>
    <col min="2" max="2" width="150" customWidth="1"/>
  </cols>
  <sheetData>
    <row r="1" spans="1:2" ht="16.5" x14ac:dyDescent="0.35">
      <c r="A1" s="9" t="s">
        <v>687</v>
      </c>
    </row>
    <row r="2" spans="1:2" x14ac:dyDescent="0.35">
      <c r="A2" s="14" t="s">
        <v>688</v>
      </c>
    </row>
    <row r="4" spans="1:2" x14ac:dyDescent="0.35">
      <c r="A4" s="15" t="s">
        <v>689</v>
      </c>
      <c r="B4" s="15" t="s">
        <v>690</v>
      </c>
    </row>
    <row r="5" spans="1:2" x14ac:dyDescent="0.35">
      <c r="A5" s="5">
        <v>1</v>
      </c>
      <c r="B5" s="5" t="s">
        <v>691</v>
      </c>
    </row>
    <row r="6" spans="1:2" x14ac:dyDescent="0.35">
      <c r="A6" s="5">
        <v>2</v>
      </c>
      <c r="B6" s="5" t="s">
        <v>692</v>
      </c>
    </row>
    <row r="7" spans="1:2" x14ac:dyDescent="0.35">
      <c r="A7" s="5">
        <v>3</v>
      </c>
      <c r="B7" s="5" t="s">
        <v>693</v>
      </c>
    </row>
    <row r="8" spans="1:2" x14ac:dyDescent="0.35">
      <c r="A8" s="5">
        <v>4</v>
      </c>
      <c r="B8" s="5" t="s">
        <v>694</v>
      </c>
    </row>
    <row r="9" spans="1:2" x14ac:dyDescent="0.35">
      <c r="A9" s="5">
        <v>5</v>
      </c>
      <c r="B9" s="5" t="s">
        <v>695</v>
      </c>
    </row>
    <row r="10" spans="1:2" x14ac:dyDescent="0.35">
      <c r="A10" s="5">
        <v>6</v>
      </c>
      <c r="B10" s="5" t="s">
        <v>696</v>
      </c>
    </row>
    <row r="11" spans="1:2" ht="25" x14ac:dyDescent="0.35">
      <c r="A11" s="5">
        <v>7</v>
      </c>
      <c r="B11" s="5" t="s">
        <v>697</v>
      </c>
    </row>
    <row r="12" spans="1:2" ht="25" x14ac:dyDescent="0.35">
      <c r="A12" s="5">
        <v>8</v>
      </c>
      <c r="B12" s="5" t="s">
        <v>698</v>
      </c>
    </row>
    <row r="13" spans="1:2" x14ac:dyDescent="0.35">
      <c r="A13" s="5">
        <v>9</v>
      </c>
      <c r="B13" s="5" t="s">
        <v>699</v>
      </c>
    </row>
    <row r="14" spans="1:2" ht="25" x14ac:dyDescent="0.35">
      <c r="A14" s="5">
        <v>10</v>
      </c>
      <c r="B14" s="5" t="s">
        <v>700</v>
      </c>
    </row>
    <row r="15" spans="1:2" x14ac:dyDescent="0.35">
      <c r="A15" s="5">
        <v>11</v>
      </c>
      <c r="B15" s="5" t="s">
        <v>701</v>
      </c>
    </row>
    <row r="16" spans="1:2" x14ac:dyDescent="0.35">
      <c r="A16" s="5">
        <v>12</v>
      </c>
      <c r="B16" s="5" t="s">
        <v>702</v>
      </c>
    </row>
    <row r="17" spans="1:2" x14ac:dyDescent="0.35">
      <c r="A17" s="5">
        <v>13</v>
      </c>
      <c r="B17" s="5" t="s">
        <v>703</v>
      </c>
    </row>
    <row r="18" spans="1:2" x14ac:dyDescent="0.35">
      <c r="A18" s="5">
        <v>14</v>
      </c>
      <c r="B18" s="5" t="s">
        <v>704</v>
      </c>
    </row>
    <row r="19" spans="1:2" x14ac:dyDescent="0.35">
      <c r="A19" s="5">
        <v>15</v>
      </c>
      <c r="B19" s="5" t="s">
        <v>705</v>
      </c>
    </row>
    <row r="20" spans="1:2" x14ac:dyDescent="0.35">
      <c r="A20" s="5">
        <v>16</v>
      </c>
      <c r="B20" s="5" t="s">
        <v>706</v>
      </c>
    </row>
    <row r="21" spans="1:2" x14ac:dyDescent="0.35">
      <c r="A21" s="5">
        <v>17</v>
      </c>
      <c r="B21" s="5" t="s">
        <v>707</v>
      </c>
    </row>
    <row r="22" spans="1:2" x14ac:dyDescent="0.35">
      <c r="A22" s="5">
        <v>18</v>
      </c>
      <c r="B22" s="5" t="s">
        <v>708</v>
      </c>
    </row>
    <row r="23" spans="1:2" x14ac:dyDescent="0.35">
      <c r="A23" s="5">
        <v>19</v>
      </c>
      <c r="B23" s="5" t="s">
        <v>709</v>
      </c>
    </row>
    <row r="24" spans="1:2" x14ac:dyDescent="0.35">
      <c r="A24" s="5">
        <v>20</v>
      </c>
      <c r="B24" s="5" t="s">
        <v>710</v>
      </c>
    </row>
    <row r="25" spans="1:2" x14ac:dyDescent="0.35">
      <c r="A25" s="5">
        <v>21</v>
      </c>
      <c r="B25" s="5" t="s">
        <v>711</v>
      </c>
    </row>
    <row r="26" spans="1:2" x14ac:dyDescent="0.35">
      <c r="A26" s="5">
        <v>22</v>
      </c>
      <c r="B26" s="5" t="s">
        <v>712</v>
      </c>
    </row>
    <row r="27" spans="1:2" x14ac:dyDescent="0.35">
      <c r="A27" s="5">
        <v>23</v>
      </c>
      <c r="B27" s="5" t="s">
        <v>713</v>
      </c>
    </row>
    <row r="28" spans="1:2" x14ac:dyDescent="0.35">
      <c r="A28" s="5">
        <v>24</v>
      </c>
      <c r="B28" s="5" t="s">
        <v>704</v>
      </c>
    </row>
    <row r="29" spans="1:2" x14ac:dyDescent="0.35">
      <c r="A29" s="5">
        <v>25</v>
      </c>
      <c r="B29" s="5" t="s">
        <v>705</v>
      </c>
    </row>
    <row r="30" spans="1:2" x14ac:dyDescent="0.35">
      <c r="A30" s="5">
        <v>26</v>
      </c>
      <c r="B30" s="5" t="s">
        <v>714</v>
      </c>
    </row>
    <row r="31" spans="1:2" x14ac:dyDescent="0.35">
      <c r="A31" s="5">
        <v>27</v>
      </c>
      <c r="B31" s="5" t="s">
        <v>715</v>
      </c>
    </row>
    <row r="32" spans="1:2" x14ac:dyDescent="0.35">
      <c r="A32" s="5">
        <v>28</v>
      </c>
      <c r="B32" s="5" t="s">
        <v>716</v>
      </c>
    </row>
    <row r="33" spans="1:2" x14ac:dyDescent="0.35">
      <c r="A33" s="5">
        <v>29</v>
      </c>
      <c r="B33" s="5" t="s">
        <v>717</v>
      </c>
    </row>
    <row r="34" spans="1:2" x14ac:dyDescent="0.35">
      <c r="A34" s="5">
        <v>30</v>
      </c>
      <c r="B34" s="5" t="s">
        <v>718</v>
      </c>
    </row>
    <row r="35" spans="1:2" x14ac:dyDescent="0.35">
      <c r="A35" s="5">
        <v>31</v>
      </c>
      <c r="B35" s="5" t="s">
        <v>719</v>
      </c>
    </row>
    <row r="36" spans="1:2" x14ac:dyDescent="0.35">
      <c r="A36" s="5">
        <v>32</v>
      </c>
      <c r="B36" s="5" t="s">
        <v>720</v>
      </c>
    </row>
    <row r="37" spans="1:2" ht="25" x14ac:dyDescent="0.35">
      <c r="A37" s="5">
        <v>33</v>
      </c>
      <c r="B37" s="5" t="s">
        <v>721</v>
      </c>
    </row>
    <row r="38" spans="1:2" ht="25" x14ac:dyDescent="0.35">
      <c r="A38" s="5">
        <v>34</v>
      </c>
      <c r="B38" s="5" t="s">
        <v>722</v>
      </c>
    </row>
    <row r="39" spans="1:2" x14ac:dyDescent="0.35">
      <c r="A39" s="5">
        <v>35</v>
      </c>
      <c r="B39" s="5" t="s">
        <v>723</v>
      </c>
    </row>
    <row r="40" spans="1:2" ht="25" x14ac:dyDescent="0.35">
      <c r="A40" s="5">
        <v>36</v>
      </c>
      <c r="B40" s="5" t="s">
        <v>724</v>
      </c>
    </row>
    <row r="41" spans="1:2" x14ac:dyDescent="0.35">
      <c r="A41" s="5">
        <v>37</v>
      </c>
      <c r="B41" s="5" t="s">
        <v>725</v>
      </c>
    </row>
    <row r="42" spans="1:2" x14ac:dyDescent="0.35">
      <c r="A42" s="5">
        <v>38</v>
      </c>
      <c r="B42" s="5" t="s">
        <v>726</v>
      </c>
    </row>
    <row r="43" spans="1:2" x14ac:dyDescent="0.35">
      <c r="A43" s="5">
        <v>39</v>
      </c>
      <c r="B43" s="5" t="s">
        <v>704</v>
      </c>
    </row>
    <row r="44" spans="1:2" x14ac:dyDescent="0.35">
      <c r="A44" s="5">
        <v>40</v>
      </c>
      <c r="B44" s="5" t="s">
        <v>705</v>
      </c>
    </row>
    <row r="45" spans="1:2" x14ac:dyDescent="0.35">
      <c r="A45" s="5">
        <v>41</v>
      </c>
      <c r="B45" s="5" t="s">
        <v>727</v>
      </c>
    </row>
    <row r="46" spans="1:2" x14ac:dyDescent="0.35">
      <c r="A46" s="5">
        <v>42</v>
      </c>
      <c r="B46" s="5" t="s">
        <v>728</v>
      </c>
    </row>
    <row r="47" spans="1:2" x14ac:dyDescent="0.35">
      <c r="A47" s="5">
        <v>43</v>
      </c>
      <c r="B47" s="5" t="s">
        <v>704</v>
      </c>
    </row>
    <row r="48" spans="1:2" x14ac:dyDescent="0.35">
      <c r="A48" s="5">
        <v>44</v>
      </c>
      <c r="B48" s="5" t="s">
        <v>705</v>
      </c>
    </row>
    <row r="49" spans="1:2" x14ac:dyDescent="0.35">
      <c r="A49" s="5">
        <v>45</v>
      </c>
      <c r="B49" s="5" t="s">
        <v>729</v>
      </c>
    </row>
    <row r="50" spans="1:2" x14ac:dyDescent="0.35">
      <c r="A50" s="5">
        <v>46</v>
      </c>
      <c r="B50" s="5" t="s">
        <v>730</v>
      </c>
    </row>
    <row r="51" spans="1:2" x14ac:dyDescent="0.35">
      <c r="A51" s="5">
        <v>47</v>
      </c>
      <c r="B51" s="5" t="s">
        <v>731</v>
      </c>
    </row>
    <row r="52" spans="1:2" x14ac:dyDescent="0.35">
      <c r="A52" s="5">
        <v>48</v>
      </c>
      <c r="B52" s="5" t="s">
        <v>732</v>
      </c>
    </row>
    <row r="53" spans="1:2" x14ac:dyDescent="0.35">
      <c r="A53" s="5">
        <v>49</v>
      </c>
      <c r="B53" s="5" t="s">
        <v>733</v>
      </c>
    </row>
    <row r="54" spans="1:2" x14ac:dyDescent="0.35">
      <c r="A54" s="5">
        <v>50</v>
      </c>
      <c r="B54" s="5" t="s">
        <v>734</v>
      </c>
    </row>
    <row r="55" spans="1:2" x14ac:dyDescent="0.35">
      <c r="A55" s="5">
        <v>51</v>
      </c>
      <c r="B55" s="5" t="s">
        <v>735</v>
      </c>
    </row>
    <row r="56" spans="1:2" x14ac:dyDescent="0.35">
      <c r="A56" s="5">
        <v>52</v>
      </c>
      <c r="B56" s="5" t="s">
        <v>736</v>
      </c>
    </row>
    <row r="57" spans="1:2" x14ac:dyDescent="0.35">
      <c r="A57" s="5">
        <v>53</v>
      </c>
      <c r="B57" s="5" t="s">
        <v>737</v>
      </c>
    </row>
    <row r="58" spans="1:2" x14ac:dyDescent="0.35">
      <c r="A58" s="5">
        <v>54</v>
      </c>
      <c r="B58" s="5" t="s">
        <v>738</v>
      </c>
    </row>
    <row r="59" spans="1:2" x14ac:dyDescent="0.35">
      <c r="A59" s="5">
        <v>55</v>
      </c>
      <c r="B59" s="5" t="s">
        <v>739</v>
      </c>
    </row>
    <row r="60" spans="1:2" x14ac:dyDescent="0.35">
      <c r="A60" s="5">
        <v>56</v>
      </c>
      <c r="B60" s="5" t="s">
        <v>740</v>
      </c>
    </row>
    <row r="61" spans="1:2" x14ac:dyDescent="0.35">
      <c r="A61" s="5">
        <v>57</v>
      </c>
      <c r="B61" s="5" t="s">
        <v>741</v>
      </c>
    </row>
    <row r="62" spans="1:2" x14ac:dyDescent="0.35">
      <c r="A62" s="5">
        <v>58</v>
      </c>
      <c r="B62" s="5" t="s">
        <v>742</v>
      </c>
    </row>
    <row r="63" spans="1:2" ht="25" x14ac:dyDescent="0.35">
      <c r="A63" s="5">
        <v>59</v>
      </c>
      <c r="B63" s="5" t="s">
        <v>743</v>
      </c>
    </row>
    <row r="64" spans="1:2" ht="25" x14ac:dyDescent="0.35">
      <c r="A64" s="5">
        <v>60</v>
      </c>
      <c r="B64" s="5" t="s">
        <v>744</v>
      </c>
    </row>
    <row r="65" spans="1:2" x14ac:dyDescent="0.35">
      <c r="A65" s="5">
        <v>61</v>
      </c>
      <c r="B65" s="5" t="s">
        <v>745</v>
      </c>
    </row>
    <row r="66" spans="1:2" x14ac:dyDescent="0.35">
      <c r="A66" s="5">
        <v>62</v>
      </c>
      <c r="B66" s="5" t="s">
        <v>746</v>
      </c>
    </row>
    <row r="67" spans="1:2" ht="25" x14ac:dyDescent="0.35">
      <c r="A67" s="5">
        <v>63</v>
      </c>
      <c r="B67" s="5" t="s">
        <v>747</v>
      </c>
    </row>
    <row r="68" spans="1:2" ht="25" x14ac:dyDescent="0.35">
      <c r="A68" s="5">
        <v>64</v>
      </c>
      <c r="B68" s="5" t="s">
        <v>748</v>
      </c>
    </row>
    <row r="69" spans="1:2" x14ac:dyDescent="0.35">
      <c r="A69" s="5">
        <v>65</v>
      </c>
      <c r="B69" s="5" t="s">
        <v>749</v>
      </c>
    </row>
    <row r="70" spans="1:2" ht="25" x14ac:dyDescent="0.35">
      <c r="A70" s="5">
        <v>66</v>
      </c>
      <c r="B70" s="5" t="s">
        <v>750</v>
      </c>
    </row>
    <row r="71" spans="1:2" x14ac:dyDescent="0.35">
      <c r="A71" s="5">
        <v>67</v>
      </c>
      <c r="B71" s="5" t="s">
        <v>751</v>
      </c>
    </row>
    <row r="72" spans="1:2" x14ac:dyDescent="0.35">
      <c r="A72" s="5">
        <v>68</v>
      </c>
      <c r="B72" s="5" t="s">
        <v>752</v>
      </c>
    </row>
    <row r="73" spans="1:2" ht="25" x14ac:dyDescent="0.35">
      <c r="A73" s="5">
        <v>69</v>
      </c>
      <c r="B73" s="5" t="s">
        <v>753</v>
      </c>
    </row>
    <row r="74" spans="1:2" ht="25" x14ac:dyDescent="0.35">
      <c r="A74" s="5">
        <v>70</v>
      </c>
      <c r="B74" s="5" t="s">
        <v>754</v>
      </c>
    </row>
    <row r="75" spans="1:2" x14ac:dyDescent="0.35">
      <c r="A75" s="5">
        <v>71</v>
      </c>
      <c r="B75" s="5" t="s">
        <v>755</v>
      </c>
    </row>
    <row r="76" spans="1:2" ht="25" x14ac:dyDescent="0.35">
      <c r="A76" s="5">
        <v>72</v>
      </c>
      <c r="B76" s="5" t="s">
        <v>756</v>
      </c>
    </row>
    <row r="77" spans="1:2" ht="25" x14ac:dyDescent="0.35">
      <c r="A77" s="5">
        <v>73</v>
      </c>
      <c r="B77" s="5" t="s">
        <v>757</v>
      </c>
    </row>
    <row r="78" spans="1:2" x14ac:dyDescent="0.35">
      <c r="A78" s="5">
        <v>74</v>
      </c>
      <c r="B78" s="5" t="s">
        <v>758</v>
      </c>
    </row>
    <row r="79" spans="1:2" x14ac:dyDescent="0.35">
      <c r="A79" s="5">
        <v>75</v>
      </c>
      <c r="B79" s="5" t="s">
        <v>759</v>
      </c>
    </row>
    <row r="80" spans="1:2" x14ac:dyDescent="0.35">
      <c r="A80" s="5">
        <v>76</v>
      </c>
      <c r="B80" s="5" t="s">
        <v>760</v>
      </c>
    </row>
    <row r="81" spans="1:2" x14ac:dyDescent="0.35">
      <c r="A81" s="5">
        <v>77</v>
      </c>
      <c r="B81" s="5" t="s">
        <v>705</v>
      </c>
    </row>
    <row r="82" spans="1:2" x14ac:dyDescent="0.35">
      <c r="A82" s="5">
        <v>78</v>
      </c>
      <c r="B82" s="5" t="s">
        <v>761</v>
      </c>
    </row>
    <row r="83" spans="1:2" x14ac:dyDescent="0.35">
      <c r="A83" s="5">
        <v>79</v>
      </c>
      <c r="B83" s="5" t="s">
        <v>762</v>
      </c>
    </row>
    <row r="84" spans="1:2" x14ac:dyDescent="0.35">
      <c r="A84" s="5">
        <v>80</v>
      </c>
      <c r="B84" s="5" t="s">
        <v>763</v>
      </c>
    </row>
    <row r="85" spans="1:2" ht="25" x14ac:dyDescent="0.35">
      <c r="A85" s="5">
        <v>81</v>
      </c>
      <c r="B85" s="5" t="s">
        <v>764</v>
      </c>
    </row>
    <row r="86" spans="1:2" x14ac:dyDescent="0.35">
      <c r="A86" s="5">
        <v>82</v>
      </c>
      <c r="B86" s="5" t="s">
        <v>765</v>
      </c>
    </row>
    <row r="87" spans="1:2" x14ac:dyDescent="0.35">
      <c r="A87" s="5">
        <v>83</v>
      </c>
      <c r="B87" s="5" t="s">
        <v>766</v>
      </c>
    </row>
    <row r="88" spans="1:2" x14ac:dyDescent="0.35">
      <c r="A88" s="5">
        <v>84</v>
      </c>
      <c r="B88" s="5" t="s">
        <v>767</v>
      </c>
    </row>
    <row r="89" spans="1:2" ht="25" x14ac:dyDescent="0.35">
      <c r="A89" s="5">
        <v>85</v>
      </c>
      <c r="B89" s="5" t="s">
        <v>768</v>
      </c>
    </row>
    <row r="90" spans="1:2" x14ac:dyDescent="0.35">
      <c r="A90" s="5">
        <v>86</v>
      </c>
      <c r="B90" s="5" t="s">
        <v>769</v>
      </c>
    </row>
    <row r="91" spans="1:2" ht="25" x14ac:dyDescent="0.35">
      <c r="A91" s="5">
        <v>87</v>
      </c>
      <c r="B91" s="5" t="s">
        <v>770</v>
      </c>
    </row>
    <row r="92" spans="1:2" x14ac:dyDescent="0.35">
      <c r="A92" s="5">
        <v>88</v>
      </c>
      <c r="B92" s="5" t="s">
        <v>771</v>
      </c>
    </row>
    <row r="93" spans="1:2" x14ac:dyDescent="0.35">
      <c r="A93" s="5">
        <v>89</v>
      </c>
      <c r="B93" s="5" t="s">
        <v>772</v>
      </c>
    </row>
    <row r="94" spans="1:2" x14ac:dyDescent="0.35">
      <c r="A94" s="5">
        <v>90</v>
      </c>
      <c r="B94" s="5" t="s">
        <v>773</v>
      </c>
    </row>
    <row r="95" spans="1:2" x14ac:dyDescent="0.35">
      <c r="A95" s="5">
        <v>91</v>
      </c>
      <c r="B95" s="5" t="s">
        <v>774</v>
      </c>
    </row>
    <row r="96" spans="1:2" x14ac:dyDescent="0.35">
      <c r="A96" s="5">
        <v>92</v>
      </c>
      <c r="B96" s="5" t="s">
        <v>775</v>
      </c>
    </row>
    <row r="97" spans="1:2" x14ac:dyDescent="0.35">
      <c r="A97" s="5">
        <v>93</v>
      </c>
      <c r="B97" s="5" t="s">
        <v>776</v>
      </c>
    </row>
    <row r="98" spans="1:2" x14ac:dyDescent="0.35">
      <c r="A98" s="5">
        <v>94</v>
      </c>
      <c r="B98" s="5" t="s">
        <v>777</v>
      </c>
    </row>
    <row r="99" spans="1:2" x14ac:dyDescent="0.35">
      <c r="A99" s="5">
        <v>95</v>
      </c>
      <c r="B99" s="5" t="s">
        <v>778</v>
      </c>
    </row>
    <row r="100" spans="1:2" x14ac:dyDescent="0.35">
      <c r="A100" s="5">
        <v>96</v>
      </c>
      <c r="B100" s="5" t="s">
        <v>779</v>
      </c>
    </row>
    <row r="101" spans="1:2" x14ac:dyDescent="0.35">
      <c r="A101" s="5">
        <v>97</v>
      </c>
      <c r="B101" s="5" t="s">
        <v>780</v>
      </c>
    </row>
    <row r="102" spans="1:2" ht="25" x14ac:dyDescent="0.35">
      <c r="A102" s="5">
        <v>98</v>
      </c>
      <c r="B102" s="5" t="s">
        <v>781</v>
      </c>
    </row>
    <row r="103" spans="1:2" ht="25" x14ac:dyDescent="0.35">
      <c r="A103" s="5">
        <v>99</v>
      </c>
      <c r="B103" s="5" t="s">
        <v>782</v>
      </c>
    </row>
    <row r="104" spans="1:2" x14ac:dyDescent="0.35">
      <c r="A104" s="5">
        <v>100</v>
      </c>
      <c r="B104" s="5" t="s">
        <v>783</v>
      </c>
    </row>
    <row r="105" spans="1:2" x14ac:dyDescent="0.35">
      <c r="A105" s="5">
        <v>101</v>
      </c>
      <c r="B105" s="5" t="s">
        <v>784</v>
      </c>
    </row>
    <row r="106" spans="1:2" ht="25" x14ac:dyDescent="0.35">
      <c r="A106" s="5">
        <v>102</v>
      </c>
      <c r="B106" s="5" t="s">
        <v>785</v>
      </c>
    </row>
    <row r="107" spans="1:2" ht="25" x14ac:dyDescent="0.35">
      <c r="A107" s="5">
        <v>103</v>
      </c>
      <c r="B107" s="5" t="s">
        <v>786</v>
      </c>
    </row>
    <row r="108" spans="1:2" x14ac:dyDescent="0.35">
      <c r="A108" s="5">
        <v>104</v>
      </c>
      <c r="B108" s="5" t="s">
        <v>787</v>
      </c>
    </row>
    <row r="109" spans="1:2" ht="25" x14ac:dyDescent="0.35">
      <c r="A109" s="5">
        <v>105</v>
      </c>
      <c r="B109" s="5" t="s">
        <v>788</v>
      </c>
    </row>
    <row r="110" spans="1:2" x14ac:dyDescent="0.35">
      <c r="A110" s="5">
        <v>106</v>
      </c>
      <c r="B110" s="5" t="s">
        <v>789</v>
      </c>
    </row>
    <row r="111" spans="1:2" x14ac:dyDescent="0.35">
      <c r="A111" s="5">
        <v>107</v>
      </c>
      <c r="B111" s="5" t="s">
        <v>790</v>
      </c>
    </row>
    <row r="112" spans="1:2" x14ac:dyDescent="0.35">
      <c r="A112" s="5">
        <v>108</v>
      </c>
      <c r="B112" s="5" t="s">
        <v>791</v>
      </c>
    </row>
    <row r="113" spans="1:2" x14ac:dyDescent="0.35">
      <c r="A113" s="5">
        <v>109</v>
      </c>
      <c r="B113" s="5" t="s">
        <v>792</v>
      </c>
    </row>
    <row r="114" spans="1:2" x14ac:dyDescent="0.35">
      <c r="A114" s="5">
        <v>110</v>
      </c>
      <c r="B114" s="5" t="s">
        <v>793</v>
      </c>
    </row>
    <row r="115" spans="1:2" x14ac:dyDescent="0.35">
      <c r="A115" s="5">
        <v>111</v>
      </c>
      <c r="B115" s="5" t="s">
        <v>794</v>
      </c>
    </row>
    <row r="116" spans="1:2" x14ac:dyDescent="0.35">
      <c r="A116" s="5">
        <v>112</v>
      </c>
      <c r="B116" s="5" t="s">
        <v>795</v>
      </c>
    </row>
    <row r="117" spans="1:2" x14ac:dyDescent="0.35">
      <c r="A117" s="5">
        <v>113</v>
      </c>
      <c r="B117" s="5" t="s">
        <v>796</v>
      </c>
    </row>
    <row r="118" spans="1:2" ht="25" x14ac:dyDescent="0.35">
      <c r="A118" s="5">
        <v>114</v>
      </c>
      <c r="B118" s="5" t="s">
        <v>797</v>
      </c>
    </row>
    <row r="119" spans="1:2" x14ac:dyDescent="0.35">
      <c r="A119" s="5">
        <v>115</v>
      </c>
      <c r="B119" s="5" t="s">
        <v>798</v>
      </c>
    </row>
    <row r="120" spans="1:2" ht="25" x14ac:dyDescent="0.35">
      <c r="A120" s="5">
        <v>116</v>
      </c>
      <c r="B120" s="5" t="s">
        <v>799</v>
      </c>
    </row>
    <row r="121" spans="1:2" ht="25" x14ac:dyDescent="0.35">
      <c r="A121" s="5">
        <v>117</v>
      </c>
      <c r="B121" s="5" t="s">
        <v>800</v>
      </c>
    </row>
    <row r="122" spans="1:2" x14ac:dyDescent="0.35">
      <c r="A122" s="5">
        <v>118</v>
      </c>
      <c r="B122" s="5" t="s">
        <v>801</v>
      </c>
    </row>
    <row r="123" spans="1:2" x14ac:dyDescent="0.35">
      <c r="A123" s="5">
        <v>119</v>
      </c>
      <c r="B123" s="5" t="s">
        <v>802</v>
      </c>
    </row>
    <row r="124" spans="1:2" x14ac:dyDescent="0.35">
      <c r="A124" s="5">
        <v>120</v>
      </c>
      <c r="B124" s="5" t="s">
        <v>803</v>
      </c>
    </row>
    <row r="125" spans="1:2" x14ac:dyDescent="0.35">
      <c r="A125" s="5">
        <v>121</v>
      </c>
      <c r="B125" s="5" t="s">
        <v>804</v>
      </c>
    </row>
    <row r="126" spans="1:2" x14ac:dyDescent="0.35">
      <c r="A126" s="5">
        <v>122</v>
      </c>
      <c r="B126" s="5" t="s">
        <v>805</v>
      </c>
    </row>
    <row r="127" spans="1:2" x14ac:dyDescent="0.35">
      <c r="A127" s="5">
        <v>123</v>
      </c>
      <c r="B127" s="5" t="s">
        <v>806</v>
      </c>
    </row>
    <row r="128" spans="1:2" x14ac:dyDescent="0.35">
      <c r="A128" s="5">
        <v>124</v>
      </c>
      <c r="B128" s="5" t="s">
        <v>807</v>
      </c>
    </row>
    <row r="129" spans="1:2" ht="25" x14ac:dyDescent="0.35">
      <c r="A129" s="5">
        <v>125</v>
      </c>
      <c r="B129" s="5" t="s">
        <v>808</v>
      </c>
    </row>
    <row r="130" spans="1:2" x14ac:dyDescent="0.35">
      <c r="A130" s="5">
        <v>126</v>
      </c>
      <c r="B130" s="5" t="s">
        <v>809</v>
      </c>
    </row>
    <row r="131" spans="1:2" x14ac:dyDescent="0.35">
      <c r="A131" s="5">
        <v>127</v>
      </c>
      <c r="B131" s="5" t="s">
        <v>810</v>
      </c>
    </row>
    <row r="132" spans="1:2" ht="25" x14ac:dyDescent="0.35">
      <c r="A132" s="5">
        <v>128</v>
      </c>
      <c r="B132" s="5" t="s">
        <v>811</v>
      </c>
    </row>
    <row r="133" spans="1:2" x14ac:dyDescent="0.35">
      <c r="A133" s="5">
        <v>129</v>
      </c>
      <c r="B133" s="5" t="s">
        <v>812</v>
      </c>
    </row>
    <row r="134" spans="1:2" ht="25" x14ac:dyDescent="0.35">
      <c r="A134" s="5">
        <v>130</v>
      </c>
      <c r="B134" s="5" t="s">
        <v>813</v>
      </c>
    </row>
    <row r="135" spans="1:2" ht="25" x14ac:dyDescent="0.35">
      <c r="A135" s="5">
        <v>131</v>
      </c>
      <c r="B135" s="5" t="s">
        <v>814</v>
      </c>
    </row>
    <row r="136" spans="1:2" ht="25" x14ac:dyDescent="0.35">
      <c r="A136" s="5">
        <v>132</v>
      </c>
      <c r="B136" s="5" t="s">
        <v>815</v>
      </c>
    </row>
    <row r="137" spans="1:2" x14ac:dyDescent="0.35">
      <c r="A137" s="5">
        <v>133</v>
      </c>
      <c r="B137" s="5" t="s">
        <v>816</v>
      </c>
    </row>
    <row r="138" spans="1:2" x14ac:dyDescent="0.35">
      <c r="A138" s="5">
        <v>134</v>
      </c>
      <c r="B138" s="5" t="s">
        <v>817</v>
      </c>
    </row>
    <row r="139" spans="1:2" ht="25" x14ac:dyDescent="0.35">
      <c r="A139" s="5">
        <v>135</v>
      </c>
      <c r="B139" s="5" t="s">
        <v>818</v>
      </c>
    </row>
    <row r="140" spans="1:2" x14ac:dyDescent="0.35">
      <c r="A140" s="5">
        <v>136</v>
      </c>
      <c r="B140" s="5" t="s">
        <v>819</v>
      </c>
    </row>
    <row r="141" spans="1:2" ht="25" x14ac:dyDescent="0.35">
      <c r="A141" s="5">
        <v>137</v>
      </c>
      <c r="B141" s="5" t="s">
        <v>820</v>
      </c>
    </row>
    <row r="142" spans="1:2" ht="25" x14ac:dyDescent="0.35">
      <c r="A142" s="5">
        <v>138</v>
      </c>
      <c r="B142" s="5" t="s">
        <v>821</v>
      </c>
    </row>
    <row r="143" spans="1:2" x14ac:dyDescent="0.35">
      <c r="A143" s="5">
        <v>139</v>
      </c>
      <c r="B143" s="5" t="s">
        <v>822</v>
      </c>
    </row>
    <row r="144" spans="1:2" ht="25" x14ac:dyDescent="0.35">
      <c r="A144" s="5">
        <v>140</v>
      </c>
      <c r="B144" s="5" t="s">
        <v>823</v>
      </c>
    </row>
    <row r="145" spans="1:2" x14ac:dyDescent="0.35">
      <c r="A145" s="5">
        <v>141</v>
      </c>
      <c r="B145" s="5" t="s">
        <v>824</v>
      </c>
    </row>
    <row r="146" spans="1:2" x14ac:dyDescent="0.35">
      <c r="A146" s="5">
        <v>142</v>
      </c>
      <c r="B146" s="5" t="s">
        <v>825</v>
      </c>
    </row>
    <row r="147" spans="1:2" x14ac:dyDescent="0.35">
      <c r="A147" s="5">
        <v>143</v>
      </c>
      <c r="B147" s="5" t="s">
        <v>792</v>
      </c>
    </row>
    <row r="148" spans="1:2" x14ac:dyDescent="0.35">
      <c r="A148" s="5">
        <v>144</v>
      </c>
      <c r="B148" s="5" t="s">
        <v>826</v>
      </c>
    </row>
    <row r="149" spans="1:2" x14ac:dyDescent="0.35">
      <c r="A149" s="5">
        <v>145</v>
      </c>
      <c r="B149" s="5" t="s">
        <v>827</v>
      </c>
    </row>
    <row r="150" spans="1:2" x14ac:dyDescent="0.35">
      <c r="A150" s="5">
        <v>146</v>
      </c>
      <c r="B150" s="5" t="s">
        <v>828</v>
      </c>
    </row>
    <row r="151" spans="1:2" x14ac:dyDescent="0.35">
      <c r="A151" s="5">
        <v>147</v>
      </c>
      <c r="B151" s="5" t="s">
        <v>829</v>
      </c>
    </row>
    <row r="152" spans="1:2" x14ac:dyDescent="0.35">
      <c r="A152" s="5">
        <v>148</v>
      </c>
      <c r="B152" s="5" t="s">
        <v>830</v>
      </c>
    </row>
    <row r="153" spans="1:2" x14ac:dyDescent="0.35">
      <c r="A153" s="5">
        <v>149</v>
      </c>
      <c r="B153" s="5" t="s">
        <v>831</v>
      </c>
    </row>
    <row r="154" spans="1:2" ht="25" x14ac:dyDescent="0.35">
      <c r="A154" s="5">
        <v>150</v>
      </c>
      <c r="B154" s="5" t="s">
        <v>832</v>
      </c>
    </row>
    <row r="155" spans="1:2" ht="25" x14ac:dyDescent="0.35">
      <c r="A155" s="5">
        <v>151</v>
      </c>
      <c r="B155" s="5" t="s">
        <v>833</v>
      </c>
    </row>
    <row r="156" spans="1:2" ht="25" x14ac:dyDescent="0.35">
      <c r="A156" s="5">
        <v>152</v>
      </c>
      <c r="B156" s="5" t="s">
        <v>834</v>
      </c>
    </row>
    <row r="157" spans="1:2" x14ac:dyDescent="0.35">
      <c r="A157" s="5">
        <v>153</v>
      </c>
      <c r="B157" s="5" t="s">
        <v>835</v>
      </c>
    </row>
    <row r="158" spans="1:2" x14ac:dyDescent="0.35">
      <c r="A158" s="5">
        <v>154</v>
      </c>
      <c r="B158" s="5" t="s">
        <v>836</v>
      </c>
    </row>
    <row r="159" spans="1:2" ht="25" x14ac:dyDescent="0.35">
      <c r="A159" s="5">
        <v>155</v>
      </c>
      <c r="B159" s="5" t="s">
        <v>837</v>
      </c>
    </row>
    <row r="160" spans="1:2" x14ac:dyDescent="0.35">
      <c r="A160" s="5">
        <v>156</v>
      </c>
      <c r="B160" s="5" t="s">
        <v>838</v>
      </c>
    </row>
    <row r="161" spans="1:2" ht="25" x14ac:dyDescent="0.35">
      <c r="A161" s="5">
        <v>157</v>
      </c>
      <c r="B161" s="5" t="s">
        <v>839</v>
      </c>
    </row>
    <row r="162" spans="1:2" x14ac:dyDescent="0.35">
      <c r="A162" s="5">
        <v>158</v>
      </c>
      <c r="B162" s="5" t="s">
        <v>840</v>
      </c>
    </row>
    <row r="163" spans="1:2" ht="25" x14ac:dyDescent="0.35">
      <c r="A163" s="5">
        <v>159</v>
      </c>
      <c r="B163" s="5" t="s">
        <v>841</v>
      </c>
    </row>
    <row r="164" spans="1:2" ht="25" x14ac:dyDescent="0.35">
      <c r="A164" s="5">
        <v>160</v>
      </c>
      <c r="B164" s="5" t="s">
        <v>842</v>
      </c>
    </row>
    <row r="165" spans="1:2" x14ac:dyDescent="0.35">
      <c r="A165" s="5">
        <v>161</v>
      </c>
      <c r="B165" s="5" t="s">
        <v>843</v>
      </c>
    </row>
    <row r="166" spans="1:2" x14ac:dyDescent="0.35">
      <c r="A166" s="5">
        <v>162</v>
      </c>
      <c r="B166" s="5" t="s">
        <v>844</v>
      </c>
    </row>
    <row r="167" spans="1:2" ht="25" x14ac:dyDescent="0.35">
      <c r="A167" s="5">
        <v>163</v>
      </c>
      <c r="B167" s="5" t="s">
        <v>845</v>
      </c>
    </row>
    <row r="168" spans="1:2" ht="25" x14ac:dyDescent="0.35">
      <c r="A168" s="5">
        <v>164</v>
      </c>
      <c r="B168" s="5" t="s">
        <v>846</v>
      </c>
    </row>
    <row r="169" spans="1:2" x14ac:dyDescent="0.35">
      <c r="A169" s="5">
        <v>165</v>
      </c>
      <c r="B169" s="5" t="s">
        <v>847</v>
      </c>
    </row>
    <row r="170" spans="1:2" ht="25" x14ac:dyDescent="0.35">
      <c r="A170" s="5">
        <v>166</v>
      </c>
      <c r="B170" s="5" t="s">
        <v>848</v>
      </c>
    </row>
    <row r="171" spans="1:2" ht="25" x14ac:dyDescent="0.35">
      <c r="A171" s="5">
        <v>167</v>
      </c>
      <c r="B171" s="5" t="s">
        <v>849</v>
      </c>
    </row>
    <row r="172" spans="1:2" ht="25" x14ac:dyDescent="0.35">
      <c r="A172" s="5">
        <v>168</v>
      </c>
      <c r="B172" s="5" t="s">
        <v>850</v>
      </c>
    </row>
    <row r="173" spans="1:2" x14ac:dyDescent="0.35">
      <c r="A173" s="5">
        <v>169</v>
      </c>
      <c r="B173" s="5" t="s">
        <v>851</v>
      </c>
    </row>
    <row r="174" spans="1:2" x14ac:dyDescent="0.35">
      <c r="A174" s="5">
        <v>170</v>
      </c>
      <c r="B174" s="5" t="s">
        <v>852</v>
      </c>
    </row>
    <row r="175" spans="1:2" x14ac:dyDescent="0.35">
      <c r="A175" s="5">
        <v>171</v>
      </c>
      <c r="B175" s="5" t="s">
        <v>853</v>
      </c>
    </row>
    <row r="176" spans="1:2" x14ac:dyDescent="0.35">
      <c r="A176" s="5">
        <v>172</v>
      </c>
      <c r="B176" s="5" t="s">
        <v>854</v>
      </c>
    </row>
    <row r="177" spans="1:2" ht="25" x14ac:dyDescent="0.35">
      <c r="A177" s="5">
        <v>173</v>
      </c>
      <c r="B177" s="5" t="s">
        <v>855</v>
      </c>
    </row>
    <row r="178" spans="1:2" x14ac:dyDescent="0.35">
      <c r="A178" s="5">
        <v>174</v>
      </c>
      <c r="B178" s="5" t="s">
        <v>856</v>
      </c>
    </row>
    <row r="179" spans="1:2" ht="25" x14ac:dyDescent="0.35">
      <c r="A179" s="5">
        <v>175</v>
      </c>
      <c r="B179" s="5" t="s">
        <v>857</v>
      </c>
    </row>
    <row r="180" spans="1:2" x14ac:dyDescent="0.35">
      <c r="A180" s="5">
        <v>176</v>
      </c>
      <c r="B180" s="5" t="s">
        <v>858</v>
      </c>
    </row>
    <row r="181" spans="1:2" ht="25" x14ac:dyDescent="0.35">
      <c r="A181" s="5">
        <v>177</v>
      </c>
      <c r="B181" s="5" t="s">
        <v>859</v>
      </c>
    </row>
    <row r="182" spans="1:2" x14ac:dyDescent="0.35">
      <c r="A182" s="5">
        <v>178</v>
      </c>
      <c r="B182" s="5" t="s">
        <v>860</v>
      </c>
    </row>
    <row r="183" spans="1:2" x14ac:dyDescent="0.35">
      <c r="A183" s="5">
        <v>179</v>
      </c>
      <c r="B183" s="5" t="s">
        <v>861</v>
      </c>
    </row>
    <row r="184" spans="1:2" ht="25" x14ac:dyDescent="0.35">
      <c r="A184" s="5">
        <v>180</v>
      </c>
      <c r="B184" s="5" t="s">
        <v>862</v>
      </c>
    </row>
    <row r="185" spans="1:2" x14ac:dyDescent="0.35">
      <c r="A185" s="5">
        <v>181</v>
      </c>
      <c r="B185" s="5" t="s">
        <v>863</v>
      </c>
    </row>
    <row r="186" spans="1:2" x14ac:dyDescent="0.35">
      <c r="A186" s="5">
        <v>182</v>
      </c>
      <c r="B186" s="5" t="s">
        <v>774</v>
      </c>
    </row>
    <row r="187" spans="1:2" x14ac:dyDescent="0.35">
      <c r="A187" s="5">
        <v>183</v>
      </c>
      <c r="B187" s="5" t="s">
        <v>864</v>
      </c>
    </row>
    <row r="188" spans="1:2" x14ac:dyDescent="0.35">
      <c r="A188" s="5">
        <v>184</v>
      </c>
      <c r="B188" s="5" t="s">
        <v>865</v>
      </c>
    </row>
    <row r="189" spans="1:2" x14ac:dyDescent="0.35">
      <c r="A189" s="5">
        <v>185</v>
      </c>
      <c r="B189" s="5" t="s">
        <v>866</v>
      </c>
    </row>
    <row r="190" spans="1:2" x14ac:dyDescent="0.35">
      <c r="A190" s="5">
        <v>186</v>
      </c>
      <c r="B190" s="5" t="s">
        <v>867</v>
      </c>
    </row>
    <row r="191" spans="1:2" x14ac:dyDescent="0.35">
      <c r="A191" s="5">
        <v>187</v>
      </c>
      <c r="B191" s="5" t="s">
        <v>868</v>
      </c>
    </row>
    <row r="192" spans="1:2" x14ac:dyDescent="0.35">
      <c r="A192" s="5">
        <v>188</v>
      </c>
      <c r="B192" s="5" t="s">
        <v>869</v>
      </c>
    </row>
    <row r="193" spans="1:2" x14ac:dyDescent="0.35">
      <c r="A193" s="5">
        <v>189</v>
      </c>
      <c r="B193" s="5" t="s">
        <v>870</v>
      </c>
    </row>
    <row r="194" spans="1:2" x14ac:dyDescent="0.35">
      <c r="A194" s="5">
        <v>190</v>
      </c>
      <c r="B194" s="5" t="s">
        <v>871</v>
      </c>
    </row>
    <row r="195" spans="1:2" x14ac:dyDescent="0.35">
      <c r="A195" s="5">
        <v>191</v>
      </c>
      <c r="B195" s="5" t="s">
        <v>872</v>
      </c>
    </row>
    <row r="196" spans="1:2" ht="25" x14ac:dyDescent="0.35">
      <c r="A196" s="5">
        <v>192</v>
      </c>
      <c r="B196" s="5" t="s">
        <v>873</v>
      </c>
    </row>
    <row r="197" spans="1:2" x14ac:dyDescent="0.35">
      <c r="A197" s="5">
        <v>193</v>
      </c>
      <c r="B197" s="5" t="s">
        <v>874</v>
      </c>
    </row>
    <row r="198" spans="1:2" ht="25" x14ac:dyDescent="0.35">
      <c r="A198" s="5">
        <v>194</v>
      </c>
      <c r="B198" s="5" t="s">
        <v>875</v>
      </c>
    </row>
    <row r="199" spans="1:2" ht="25" x14ac:dyDescent="0.35">
      <c r="A199" s="5">
        <v>195</v>
      </c>
      <c r="B199" s="5" t="s">
        <v>876</v>
      </c>
    </row>
    <row r="200" spans="1:2" x14ac:dyDescent="0.35">
      <c r="A200" s="5">
        <v>196</v>
      </c>
      <c r="B200" s="5" t="s">
        <v>877</v>
      </c>
    </row>
    <row r="201" spans="1:2" x14ac:dyDescent="0.35">
      <c r="A201" s="5">
        <v>197</v>
      </c>
      <c r="B201" s="5" t="s">
        <v>878</v>
      </c>
    </row>
    <row r="202" spans="1:2" x14ac:dyDescent="0.35">
      <c r="A202" s="5">
        <v>198</v>
      </c>
      <c r="B202" s="5" t="s">
        <v>879</v>
      </c>
    </row>
    <row r="203" spans="1:2" x14ac:dyDescent="0.35">
      <c r="A203" s="5">
        <v>199</v>
      </c>
      <c r="B203" s="5" t="s">
        <v>880</v>
      </c>
    </row>
    <row r="204" spans="1:2" x14ac:dyDescent="0.35">
      <c r="A204" s="5">
        <v>200</v>
      </c>
      <c r="B204" s="5" t="s">
        <v>705</v>
      </c>
    </row>
    <row r="205" spans="1:2" x14ac:dyDescent="0.35">
      <c r="A205" s="5">
        <v>201</v>
      </c>
      <c r="B205" s="5" t="s">
        <v>881</v>
      </c>
    </row>
    <row r="206" spans="1:2" x14ac:dyDescent="0.35">
      <c r="A206" s="5">
        <v>202</v>
      </c>
      <c r="B206" s="5" t="s">
        <v>882</v>
      </c>
    </row>
    <row r="207" spans="1:2" x14ac:dyDescent="0.35">
      <c r="A207" s="5">
        <v>203</v>
      </c>
      <c r="B207" s="5" t="s">
        <v>883</v>
      </c>
    </row>
    <row r="208" spans="1:2" x14ac:dyDescent="0.35">
      <c r="A208" s="5">
        <v>204</v>
      </c>
      <c r="B208" s="5" t="s">
        <v>884</v>
      </c>
    </row>
    <row r="209" spans="1:2" x14ac:dyDescent="0.35">
      <c r="A209" s="5">
        <v>205</v>
      </c>
      <c r="B209" s="5" t="s">
        <v>885</v>
      </c>
    </row>
    <row r="210" spans="1:2" x14ac:dyDescent="0.35">
      <c r="A210" s="5">
        <v>206</v>
      </c>
      <c r="B210" s="5" t="s">
        <v>886</v>
      </c>
    </row>
    <row r="211" spans="1:2" x14ac:dyDescent="0.35">
      <c r="A211" s="5">
        <v>207</v>
      </c>
      <c r="B211" s="5" t="s">
        <v>887</v>
      </c>
    </row>
    <row r="212" spans="1:2" ht="25" x14ac:dyDescent="0.35">
      <c r="A212" s="5">
        <v>208</v>
      </c>
      <c r="B212" s="5" t="s">
        <v>888</v>
      </c>
    </row>
    <row r="213" spans="1:2" ht="25" x14ac:dyDescent="0.35">
      <c r="A213" s="5">
        <v>209</v>
      </c>
      <c r="B213" s="5" t="s">
        <v>889</v>
      </c>
    </row>
    <row r="214" spans="1:2" x14ac:dyDescent="0.35">
      <c r="A214" s="5">
        <v>210</v>
      </c>
      <c r="B214" s="5" t="s">
        <v>890</v>
      </c>
    </row>
    <row r="215" spans="1:2" x14ac:dyDescent="0.35">
      <c r="A215" s="5">
        <v>211</v>
      </c>
      <c r="B215" s="5" t="s">
        <v>891</v>
      </c>
    </row>
    <row r="216" spans="1:2" x14ac:dyDescent="0.35">
      <c r="A216" s="5">
        <v>212</v>
      </c>
      <c r="B216" s="5" t="s">
        <v>880</v>
      </c>
    </row>
    <row r="217" spans="1:2" x14ac:dyDescent="0.35">
      <c r="A217" s="5">
        <v>213</v>
      </c>
      <c r="B217" s="5" t="s">
        <v>705</v>
      </c>
    </row>
    <row r="218" spans="1:2" x14ac:dyDescent="0.35">
      <c r="A218" s="5">
        <v>214</v>
      </c>
      <c r="B218" s="5" t="s">
        <v>892</v>
      </c>
    </row>
    <row r="219" spans="1:2" x14ac:dyDescent="0.35">
      <c r="A219" s="5">
        <v>215</v>
      </c>
      <c r="B219" s="5" t="s">
        <v>893</v>
      </c>
    </row>
    <row r="220" spans="1:2" x14ac:dyDescent="0.35">
      <c r="A220" s="5">
        <v>216</v>
      </c>
      <c r="B220" s="5" t="s">
        <v>894</v>
      </c>
    </row>
    <row r="221" spans="1:2" x14ac:dyDescent="0.35">
      <c r="A221" s="5">
        <v>217</v>
      </c>
      <c r="B221" s="5" t="s">
        <v>895</v>
      </c>
    </row>
    <row r="222" spans="1:2" x14ac:dyDescent="0.35">
      <c r="A222" s="5">
        <v>218</v>
      </c>
      <c r="B222" s="5" t="s">
        <v>896</v>
      </c>
    </row>
    <row r="223" spans="1:2" ht="25" x14ac:dyDescent="0.35">
      <c r="A223" s="5">
        <v>219</v>
      </c>
      <c r="B223" s="5" t="s">
        <v>897</v>
      </c>
    </row>
    <row r="224" spans="1:2" x14ac:dyDescent="0.35">
      <c r="A224" s="5">
        <v>220</v>
      </c>
      <c r="B224" s="5" t="s">
        <v>898</v>
      </c>
    </row>
    <row r="225" spans="1:2" ht="25" x14ac:dyDescent="0.35">
      <c r="A225" s="5">
        <v>221</v>
      </c>
      <c r="B225" s="5" t="s">
        <v>899</v>
      </c>
    </row>
    <row r="226" spans="1:2" ht="25" x14ac:dyDescent="0.35">
      <c r="A226" s="5">
        <v>222</v>
      </c>
      <c r="B226" s="5" t="s">
        <v>900</v>
      </c>
    </row>
    <row r="227" spans="1:2" x14ac:dyDescent="0.35">
      <c r="A227" s="5">
        <v>223</v>
      </c>
      <c r="B227" s="5" t="s">
        <v>901</v>
      </c>
    </row>
    <row r="228" spans="1:2" ht="25" x14ac:dyDescent="0.35">
      <c r="A228" s="5">
        <v>224</v>
      </c>
      <c r="B228" s="5" t="s">
        <v>902</v>
      </c>
    </row>
    <row r="229" spans="1:2" ht="25" x14ac:dyDescent="0.35">
      <c r="A229" s="5">
        <v>225</v>
      </c>
      <c r="B229" s="5" t="s">
        <v>903</v>
      </c>
    </row>
    <row r="230" spans="1:2" x14ac:dyDescent="0.35">
      <c r="A230" s="5">
        <v>226</v>
      </c>
      <c r="B230" s="5" t="s">
        <v>904</v>
      </c>
    </row>
    <row r="231" spans="1:2" ht="25" x14ac:dyDescent="0.35">
      <c r="A231" s="5">
        <v>227</v>
      </c>
      <c r="B231" s="5" t="s">
        <v>905</v>
      </c>
    </row>
    <row r="232" spans="1:2" x14ac:dyDescent="0.35">
      <c r="A232" s="5">
        <v>228</v>
      </c>
      <c r="B232" s="5" t="s">
        <v>906</v>
      </c>
    </row>
    <row r="233" spans="1:2" x14ac:dyDescent="0.35">
      <c r="A233" s="5">
        <v>229</v>
      </c>
      <c r="B233" s="5" t="s">
        <v>907</v>
      </c>
    </row>
    <row r="234" spans="1:2" x14ac:dyDescent="0.35">
      <c r="A234" s="5">
        <v>230</v>
      </c>
      <c r="B234" s="5" t="s">
        <v>908</v>
      </c>
    </row>
    <row r="235" spans="1:2" x14ac:dyDescent="0.35">
      <c r="A235" s="5">
        <v>231</v>
      </c>
      <c r="B235" s="5" t="s">
        <v>909</v>
      </c>
    </row>
    <row r="236" spans="1:2" x14ac:dyDescent="0.35">
      <c r="A236" s="5">
        <v>232</v>
      </c>
      <c r="B236" s="5" t="s">
        <v>910</v>
      </c>
    </row>
    <row r="237" spans="1:2" x14ac:dyDescent="0.35">
      <c r="A237" s="5">
        <v>233</v>
      </c>
      <c r="B237" s="5" t="s">
        <v>911</v>
      </c>
    </row>
    <row r="238" spans="1:2" x14ac:dyDescent="0.35">
      <c r="A238" s="5">
        <v>234</v>
      </c>
      <c r="B238" s="5" t="s">
        <v>912</v>
      </c>
    </row>
    <row r="239" spans="1:2" x14ac:dyDescent="0.35">
      <c r="A239" s="5">
        <v>235</v>
      </c>
      <c r="B239" s="5" t="s">
        <v>913</v>
      </c>
    </row>
    <row r="240" spans="1:2" x14ac:dyDescent="0.35">
      <c r="A240" s="5">
        <v>236</v>
      </c>
      <c r="B240" s="5" t="s">
        <v>774</v>
      </c>
    </row>
    <row r="241" spans="1:2" x14ac:dyDescent="0.35">
      <c r="A241" s="5">
        <v>237</v>
      </c>
      <c r="B241" s="5" t="s">
        <v>914</v>
      </c>
    </row>
    <row r="242" spans="1:2" x14ac:dyDescent="0.35">
      <c r="A242" s="5">
        <v>238</v>
      </c>
      <c r="B242" s="5" t="s">
        <v>915</v>
      </c>
    </row>
    <row r="243" spans="1:2" x14ac:dyDescent="0.35">
      <c r="A243" s="5">
        <v>239</v>
      </c>
      <c r="B243" s="5" t="s">
        <v>916</v>
      </c>
    </row>
    <row r="244" spans="1:2" x14ac:dyDescent="0.35">
      <c r="A244" s="5">
        <v>240</v>
      </c>
      <c r="B244" s="5" t="s">
        <v>917</v>
      </c>
    </row>
    <row r="245" spans="1:2" x14ac:dyDescent="0.35">
      <c r="A245" s="5">
        <v>241</v>
      </c>
      <c r="B245" s="5" t="s">
        <v>918</v>
      </c>
    </row>
    <row r="246" spans="1:2" x14ac:dyDescent="0.35">
      <c r="A246" s="5">
        <v>242</v>
      </c>
      <c r="B246" s="5" t="s">
        <v>919</v>
      </c>
    </row>
    <row r="247" spans="1:2" x14ac:dyDescent="0.35">
      <c r="A247" s="5">
        <v>243</v>
      </c>
      <c r="B247" s="5" t="s">
        <v>920</v>
      </c>
    </row>
    <row r="248" spans="1:2" x14ac:dyDescent="0.35">
      <c r="A248" s="5">
        <v>244</v>
      </c>
      <c r="B248" s="5" t="s">
        <v>921</v>
      </c>
    </row>
    <row r="249" spans="1:2" x14ac:dyDescent="0.35">
      <c r="A249" s="5">
        <v>245</v>
      </c>
      <c r="B249" s="5" t="s">
        <v>922</v>
      </c>
    </row>
    <row r="250" spans="1:2" x14ac:dyDescent="0.35">
      <c r="A250" s="5">
        <v>246</v>
      </c>
      <c r="B250" s="5" t="s">
        <v>923</v>
      </c>
    </row>
    <row r="251" spans="1:2" x14ac:dyDescent="0.35">
      <c r="A251" s="5">
        <v>247</v>
      </c>
      <c r="B251" s="5" t="s">
        <v>924</v>
      </c>
    </row>
    <row r="252" spans="1:2" x14ac:dyDescent="0.35">
      <c r="A252" s="5">
        <v>248</v>
      </c>
      <c r="B252" s="5" t="s">
        <v>925</v>
      </c>
    </row>
    <row r="253" spans="1:2" x14ac:dyDescent="0.35">
      <c r="A253" s="5">
        <v>249</v>
      </c>
      <c r="B253" s="5" t="s">
        <v>926</v>
      </c>
    </row>
    <row r="254" spans="1:2" x14ac:dyDescent="0.35">
      <c r="A254" s="5">
        <v>250</v>
      </c>
      <c r="B254" s="5" t="s">
        <v>927</v>
      </c>
    </row>
    <row r="255" spans="1:2" x14ac:dyDescent="0.35">
      <c r="A255" s="5">
        <v>251</v>
      </c>
      <c r="B255" s="5" t="s">
        <v>928</v>
      </c>
    </row>
    <row r="256" spans="1:2" x14ac:dyDescent="0.35">
      <c r="A256" s="5">
        <v>252</v>
      </c>
      <c r="B256" s="5" t="s">
        <v>929</v>
      </c>
    </row>
    <row r="257" spans="1:2" x14ac:dyDescent="0.35">
      <c r="A257" s="5">
        <v>253</v>
      </c>
      <c r="B257" s="5" t="s">
        <v>930</v>
      </c>
    </row>
    <row r="258" spans="1:2" x14ac:dyDescent="0.35">
      <c r="A258" s="5">
        <v>254</v>
      </c>
      <c r="B258" s="5" t="s">
        <v>931</v>
      </c>
    </row>
    <row r="259" spans="1:2" x14ac:dyDescent="0.35">
      <c r="A259" s="5">
        <v>255</v>
      </c>
      <c r="B259" s="5" t="s">
        <v>932</v>
      </c>
    </row>
    <row r="260" spans="1:2" ht="25" x14ac:dyDescent="0.35">
      <c r="A260" s="5">
        <v>256</v>
      </c>
      <c r="B260" s="5" t="s">
        <v>933</v>
      </c>
    </row>
    <row r="261" spans="1:2" x14ac:dyDescent="0.35">
      <c r="A261" s="5">
        <v>257</v>
      </c>
      <c r="B261" s="5" t="s">
        <v>934</v>
      </c>
    </row>
    <row r="262" spans="1:2" x14ac:dyDescent="0.35">
      <c r="A262" s="5">
        <v>258</v>
      </c>
      <c r="B262" s="5" t="s">
        <v>935</v>
      </c>
    </row>
    <row r="263" spans="1:2" ht="25" x14ac:dyDescent="0.35">
      <c r="A263" s="5">
        <v>259</v>
      </c>
      <c r="B263" s="5" t="s">
        <v>936</v>
      </c>
    </row>
    <row r="264" spans="1:2" x14ac:dyDescent="0.35">
      <c r="A264" s="5">
        <v>260</v>
      </c>
      <c r="B264" s="5" t="s">
        <v>937</v>
      </c>
    </row>
    <row r="265" spans="1:2" ht="25" x14ac:dyDescent="0.35">
      <c r="A265" s="5">
        <v>261</v>
      </c>
      <c r="B265" s="5" t="s">
        <v>938</v>
      </c>
    </row>
    <row r="266" spans="1:2" x14ac:dyDescent="0.35">
      <c r="A266" s="5">
        <v>262</v>
      </c>
      <c r="B266" s="5" t="s">
        <v>939</v>
      </c>
    </row>
    <row r="267" spans="1:2" x14ac:dyDescent="0.35">
      <c r="A267" s="5">
        <v>263</v>
      </c>
      <c r="B267" s="5" t="s">
        <v>940</v>
      </c>
    </row>
    <row r="268" spans="1:2" x14ac:dyDescent="0.35">
      <c r="A268" s="5">
        <v>264</v>
      </c>
      <c r="B268" s="5" t="s">
        <v>941</v>
      </c>
    </row>
    <row r="269" spans="1:2" ht="25" x14ac:dyDescent="0.35">
      <c r="A269" s="5">
        <v>265</v>
      </c>
      <c r="B269" s="5" t="s">
        <v>942</v>
      </c>
    </row>
    <row r="270" spans="1:2" x14ac:dyDescent="0.35">
      <c r="A270" s="5">
        <v>266</v>
      </c>
      <c r="B270" s="5" t="s">
        <v>943</v>
      </c>
    </row>
    <row r="271" spans="1:2" x14ac:dyDescent="0.35">
      <c r="A271" s="5">
        <v>267</v>
      </c>
      <c r="B271" s="5" t="s">
        <v>944</v>
      </c>
    </row>
    <row r="272" spans="1:2" x14ac:dyDescent="0.35">
      <c r="A272" s="5">
        <v>268</v>
      </c>
      <c r="B272" s="5" t="s">
        <v>945</v>
      </c>
    </row>
    <row r="273" spans="1:2" x14ac:dyDescent="0.35">
      <c r="A273" s="5">
        <v>269</v>
      </c>
      <c r="B273" s="5" t="s">
        <v>705</v>
      </c>
    </row>
    <row r="274" spans="1:2" x14ac:dyDescent="0.35">
      <c r="A274" s="5">
        <v>270</v>
      </c>
      <c r="B274" s="5" t="s">
        <v>946</v>
      </c>
    </row>
    <row r="275" spans="1:2" x14ac:dyDescent="0.35">
      <c r="A275" s="5">
        <v>271</v>
      </c>
      <c r="B275" s="5" t="s">
        <v>947</v>
      </c>
    </row>
    <row r="276" spans="1:2" x14ac:dyDescent="0.35">
      <c r="A276" s="5">
        <v>272</v>
      </c>
      <c r="B276" s="5" t="s">
        <v>948</v>
      </c>
    </row>
    <row r="277" spans="1:2" x14ac:dyDescent="0.35">
      <c r="A277" s="5">
        <v>273</v>
      </c>
      <c r="B277" s="5" t="s">
        <v>949</v>
      </c>
    </row>
    <row r="278" spans="1:2" x14ac:dyDescent="0.35">
      <c r="A278" s="5">
        <v>274</v>
      </c>
      <c r="B278" s="5" t="s">
        <v>950</v>
      </c>
    </row>
    <row r="279" spans="1:2" x14ac:dyDescent="0.35">
      <c r="A279" s="5">
        <v>275</v>
      </c>
      <c r="B279" s="5" t="s">
        <v>951</v>
      </c>
    </row>
    <row r="280" spans="1:2" x14ac:dyDescent="0.35">
      <c r="A280" s="5">
        <v>276</v>
      </c>
      <c r="B280" s="5" t="s">
        <v>952</v>
      </c>
    </row>
    <row r="281" spans="1:2" x14ac:dyDescent="0.35">
      <c r="A281" s="5">
        <v>277</v>
      </c>
      <c r="B281" s="5" t="s">
        <v>953</v>
      </c>
    </row>
    <row r="282" spans="1:2" x14ac:dyDescent="0.35">
      <c r="A282" s="5">
        <v>278</v>
      </c>
      <c r="B282" s="5" t="s">
        <v>954</v>
      </c>
    </row>
    <row r="283" spans="1:2" x14ac:dyDescent="0.35">
      <c r="A283" s="5">
        <v>279</v>
      </c>
      <c r="B283" s="5" t="s">
        <v>955</v>
      </c>
    </row>
    <row r="284" spans="1:2" ht="25" x14ac:dyDescent="0.35">
      <c r="A284" s="5">
        <v>280</v>
      </c>
      <c r="B284" s="5" t="s">
        <v>956</v>
      </c>
    </row>
    <row r="285" spans="1:2" ht="25" x14ac:dyDescent="0.35">
      <c r="A285" s="5">
        <v>281</v>
      </c>
      <c r="B285" s="5" t="s">
        <v>957</v>
      </c>
    </row>
    <row r="286" spans="1:2" x14ac:dyDescent="0.35">
      <c r="A286" s="5">
        <v>282</v>
      </c>
      <c r="B286" s="5" t="s">
        <v>958</v>
      </c>
    </row>
    <row r="287" spans="1:2" x14ac:dyDescent="0.35">
      <c r="A287" s="5">
        <v>283</v>
      </c>
      <c r="B287" s="5" t="s">
        <v>959</v>
      </c>
    </row>
    <row r="288" spans="1:2" x14ac:dyDescent="0.35">
      <c r="A288" s="5">
        <v>284</v>
      </c>
      <c r="B288" s="5" t="s">
        <v>960</v>
      </c>
    </row>
    <row r="289" spans="1:2" x14ac:dyDescent="0.35">
      <c r="A289" s="5">
        <v>285</v>
      </c>
      <c r="B289" s="5" t="s">
        <v>961</v>
      </c>
    </row>
    <row r="290" spans="1:2" x14ac:dyDescent="0.35">
      <c r="A290" s="5">
        <v>286</v>
      </c>
      <c r="B290" s="5" t="s">
        <v>705</v>
      </c>
    </row>
    <row r="291" spans="1:2" x14ac:dyDescent="0.35">
      <c r="A291" s="5">
        <v>287</v>
      </c>
      <c r="B291" s="5" t="s">
        <v>962</v>
      </c>
    </row>
    <row r="292" spans="1:2" x14ac:dyDescent="0.35">
      <c r="A292" s="5">
        <v>288</v>
      </c>
      <c r="B292" s="5" t="s">
        <v>963</v>
      </c>
    </row>
    <row r="293" spans="1:2" ht="25" x14ac:dyDescent="0.35">
      <c r="A293" s="5">
        <v>289</v>
      </c>
      <c r="B293" s="5" t="s">
        <v>964</v>
      </c>
    </row>
    <row r="294" spans="1:2" x14ac:dyDescent="0.35">
      <c r="A294" s="5">
        <v>290</v>
      </c>
      <c r="B294" s="5" t="s">
        <v>965</v>
      </c>
    </row>
    <row r="295" spans="1:2" x14ac:dyDescent="0.35">
      <c r="A295" s="5">
        <v>291</v>
      </c>
      <c r="B295" s="5" t="s">
        <v>966</v>
      </c>
    </row>
    <row r="296" spans="1:2" x14ac:dyDescent="0.35">
      <c r="A296" s="5">
        <v>292</v>
      </c>
      <c r="B296" s="5" t="s">
        <v>967</v>
      </c>
    </row>
    <row r="297" spans="1:2" x14ac:dyDescent="0.35">
      <c r="A297" s="5">
        <v>293</v>
      </c>
      <c r="B297" s="5" t="s">
        <v>705</v>
      </c>
    </row>
    <row r="298" spans="1:2" x14ac:dyDescent="0.35">
      <c r="A298" s="5">
        <v>294</v>
      </c>
      <c r="B298" s="5" t="s">
        <v>968</v>
      </c>
    </row>
    <row r="299" spans="1:2" x14ac:dyDescent="0.35">
      <c r="A299" s="5">
        <v>295</v>
      </c>
      <c r="B299" s="5" t="s">
        <v>969</v>
      </c>
    </row>
    <row r="300" spans="1:2" x14ac:dyDescent="0.35">
      <c r="A300" s="5">
        <v>296</v>
      </c>
      <c r="B300" s="5" t="s">
        <v>970</v>
      </c>
    </row>
    <row r="301" spans="1:2" ht="25" x14ac:dyDescent="0.35">
      <c r="A301" s="5">
        <v>297</v>
      </c>
      <c r="B301" s="5" t="s">
        <v>971</v>
      </c>
    </row>
    <row r="302" spans="1:2" ht="25" x14ac:dyDescent="0.35">
      <c r="A302" s="5">
        <v>298</v>
      </c>
      <c r="B302" s="5" t="s">
        <v>972</v>
      </c>
    </row>
    <row r="303" spans="1:2" x14ac:dyDescent="0.35">
      <c r="A303" s="5">
        <v>299</v>
      </c>
      <c r="B303" s="5" t="s">
        <v>973</v>
      </c>
    </row>
    <row r="304" spans="1:2" x14ac:dyDescent="0.35">
      <c r="A304" s="5">
        <v>300</v>
      </c>
      <c r="B304" s="5" t="s">
        <v>974</v>
      </c>
    </row>
    <row r="305" spans="1:2" ht="25" x14ac:dyDescent="0.35">
      <c r="A305" s="5">
        <v>301</v>
      </c>
      <c r="B305" s="5" t="s">
        <v>975</v>
      </c>
    </row>
    <row r="306" spans="1:2" ht="25" x14ac:dyDescent="0.35">
      <c r="A306" s="5">
        <v>302</v>
      </c>
      <c r="B306" s="5" t="s">
        <v>976</v>
      </c>
    </row>
    <row r="307" spans="1:2" x14ac:dyDescent="0.35">
      <c r="A307" s="5">
        <v>303</v>
      </c>
      <c r="B307" s="5" t="s">
        <v>977</v>
      </c>
    </row>
    <row r="308" spans="1:2" x14ac:dyDescent="0.35">
      <c r="A308" s="5">
        <v>304</v>
      </c>
      <c r="B308" s="5" t="s">
        <v>978</v>
      </c>
    </row>
    <row r="309" spans="1:2" x14ac:dyDescent="0.35">
      <c r="A309" s="5">
        <v>305</v>
      </c>
      <c r="B309" s="5" t="s">
        <v>705</v>
      </c>
    </row>
    <row r="310" spans="1:2" x14ac:dyDescent="0.35">
      <c r="A310" s="5">
        <v>306</v>
      </c>
      <c r="B310" s="5" t="s">
        <v>979</v>
      </c>
    </row>
    <row r="311" spans="1:2" x14ac:dyDescent="0.35">
      <c r="A311" s="5">
        <v>307</v>
      </c>
      <c r="B311" s="5" t="s">
        <v>980</v>
      </c>
    </row>
    <row r="312" spans="1:2" x14ac:dyDescent="0.35">
      <c r="A312" s="5">
        <v>308</v>
      </c>
      <c r="B312" s="5" t="s">
        <v>981</v>
      </c>
    </row>
    <row r="313" spans="1:2" x14ac:dyDescent="0.35">
      <c r="A313" s="5">
        <v>309</v>
      </c>
      <c r="B313" s="5" t="s">
        <v>982</v>
      </c>
    </row>
    <row r="314" spans="1:2" x14ac:dyDescent="0.35">
      <c r="A314" s="5">
        <v>310</v>
      </c>
      <c r="B314" s="5" t="s">
        <v>705</v>
      </c>
    </row>
    <row r="315" spans="1:2" ht="25" x14ac:dyDescent="0.35">
      <c r="A315" s="5">
        <v>311</v>
      </c>
      <c r="B315" s="5" t="s">
        <v>983</v>
      </c>
    </row>
    <row r="316" spans="1:2" x14ac:dyDescent="0.35">
      <c r="A316" s="5">
        <v>312</v>
      </c>
      <c r="B316" s="5" t="s">
        <v>984</v>
      </c>
    </row>
    <row r="317" spans="1:2" x14ac:dyDescent="0.35">
      <c r="A317" s="5">
        <v>313</v>
      </c>
      <c r="B317" s="5" t="s">
        <v>730</v>
      </c>
    </row>
    <row r="318" spans="1:2" ht="25" x14ac:dyDescent="0.35">
      <c r="A318" s="5">
        <v>314</v>
      </c>
      <c r="B318" s="5" t="s">
        <v>985</v>
      </c>
    </row>
    <row r="319" spans="1:2" x14ac:dyDescent="0.35">
      <c r="A319" s="5">
        <v>315</v>
      </c>
      <c r="B319" s="5" t="s">
        <v>986</v>
      </c>
    </row>
    <row r="320" spans="1:2" x14ac:dyDescent="0.35">
      <c r="A320" s="5">
        <v>316</v>
      </c>
      <c r="B320" s="5" t="s">
        <v>987</v>
      </c>
    </row>
    <row r="321" spans="1:2" x14ac:dyDescent="0.35">
      <c r="A321" s="5">
        <v>317</v>
      </c>
      <c r="B321" s="5" t="s">
        <v>988</v>
      </c>
    </row>
    <row r="322" spans="1:2" x14ac:dyDescent="0.35">
      <c r="A322" s="5">
        <v>318</v>
      </c>
      <c r="B322" s="5" t="s">
        <v>989</v>
      </c>
    </row>
    <row r="323" spans="1:2" x14ac:dyDescent="0.35">
      <c r="A323" s="5">
        <v>319</v>
      </c>
      <c r="B323" s="5" t="s">
        <v>990</v>
      </c>
    </row>
    <row r="324" spans="1:2" x14ac:dyDescent="0.35">
      <c r="A324" s="5">
        <v>320</v>
      </c>
      <c r="B324" s="5" t="s">
        <v>991</v>
      </c>
    </row>
    <row r="325" spans="1:2" x14ac:dyDescent="0.35">
      <c r="A325" s="5">
        <v>321</v>
      </c>
      <c r="B325" s="5" t="s">
        <v>992</v>
      </c>
    </row>
    <row r="326" spans="1:2" ht="25" x14ac:dyDescent="0.35">
      <c r="A326" s="5">
        <v>322</v>
      </c>
      <c r="B326" s="5" t="s">
        <v>993</v>
      </c>
    </row>
    <row r="327" spans="1:2" ht="25" x14ac:dyDescent="0.35">
      <c r="A327" s="5">
        <v>323</v>
      </c>
      <c r="B327" s="5" t="s">
        <v>994</v>
      </c>
    </row>
    <row r="328" spans="1:2" x14ac:dyDescent="0.35">
      <c r="A328" s="5">
        <v>324</v>
      </c>
      <c r="B328" s="5" t="s">
        <v>995</v>
      </c>
    </row>
    <row r="329" spans="1:2" ht="25" x14ac:dyDescent="0.35">
      <c r="A329" s="5">
        <v>325</v>
      </c>
      <c r="B329" s="5" t="s">
        <v>996</v>
      </c>
    </row>
    <row r="330" spans="1:2" x14ac:dyDescent="0.35">
      <c r="A330" s="5">
        <v>326</v>
      </c>
      <c r="B330" s="5" t="s">
        <v>997</v>
      </c>
    </row>
    <row r="331" spans="1:2" ht="25" x14ac:dyDescent="0.35">
      <c r="A331" s="5">
        <v>327</v>
      </c>
      <c r="B331" s="5" t="s">
        <v>998</v>
      </c>
    </row>
    <row r="332" spans="1:2" x14ac:dyDescent="0.35">
      <c r="A332" s="5">
        <v>328</v>
      </c>
      <c r="B332" s="5" t="s">
        <v>999</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3"/>
  <sheetViews>
    <sheetView zoomScaleNormal="100" workbookViewId="0">
      <pane ySplit="4" topLeftCell="A5" activePane="bottomLeft" state="frozen"/>
      <selection pane="bottomLeft"/>
    </sheetView>
  </sheetViews>
  <sheetFormatPr defaultColWidth="8.6328125" defaultRowHeight="14.5" x14ac:dyDescent="0.35"/>
  <cols>
    <col min="1" max="1" width="6" customWidth="1"/>
    <col min="2" max="2" width="150" customWidth="1"/>
  </cols>
  <sheetData>
    <row r="1" spans="1:2" ht="16.5" x14ac:dyDescent="0.35">
      <c r="A1" s="9" t="s">
        <v>1000</v>
      </c>
    </row>
    <row r="2" spans="1:2" x14ac:dyDescent="0.35">
      <c r="A2" s="14" t="s">
        <v>1001</v>
      </c>
    </row>
    <row r="4" spans="1:2" x14ac:dyDescent="0.35">
      <c r="A4" s="15" t="s">
        <v>584</v>
      </c>
      <c r="B4" s="15" t="s">
        <v>689</v>
      </c>
    </row>
    <row r="5" spans="1:2" ht="24" x14ac:dyDescent="0.35">
      <c r="A5" s="5">
        <v>1</v>
      </c>
      <c r="B5" s="17" t="s">
        <v>1002</v>
      </c>
    </row>
    <row r="6" spans="1:2" x14ac:dyDescent="0.35">
      <c r="A6" s="5">
        <v>2</v>
      </c>
      <c r="B6" s="17" t="s">
        <v>1003</v>
      </c>
    </row>
    <row r="7" spans="1:2" x14ac:dyDescent="0.35">
      <c r="A7" s="5">
        <v>3</v>
      </c>
      <c r="B7" s="17" t="s">
        <v>572</v>
      </c>
    </row>
    <row r="8" spans="1:2" x14ac:dyDescent="0.35">
      <c r="A8" s="5">
        <v>4</v>
      </c>
      <c r="B8" s="17" t="s">
        <v>1004</v>
      </c>
    </row>
    <row r="9" spans="1:2" x14ac:dyDescent="0.35">
      <c r="A9" s="5">
        <v>5</v>
      </c>
      <c r="B9" s="17" t="s">
        <v>1005</v>
      </c>
    </row>
    <row r="10" spans="1:2" x14ac:dyDescent="0.35">
      <c r="A10" s="5">
        <v>6</v>
      </c>
      <c r="B10" s="17" t="s">
        <v>1006</v>
      </c>
    </row>
    <row r="11" spans="1:2" x14ac:dyDescent="0.35">
      <c r="A11" s="5">
        <v>7</v>
      </c>
      <c r="B11" s="17" t="s">
        <v>1007</v>
      </c>
    </row>
    <row r="12" spans="1:2" x14ac:dyDescent="0.35">
      <c r="A12" s="5">
        <v>8</v>
      </c>
      <c r="B12" s="17" t="s">
        <v>1008</v>
      </c>
    </row>
    <row r="13" spans="1:2" x14ac:dyDescent="0.35">
      <c r="A13" s="5">
        <v>9</v>
      </c>
      <c r="B13" s="17" t="s">
        <v>1009</v>
      </c>
    </row>
    <row r="14" spans="1:2" x14ac:dyDescent="0.35">
      <c r="A14" s="5">
        <v>10</v>
      </c>
      <c r="B14" s="17" t="s">
        <v>1010</v>
      </c>
    </row>
    <row r="15" spans="1:2" x14ac:dyDescent="0.35">
      <c r="A15" s="5">
        <v>11</v>
      </c>
      <c r="B15" s="17" t="s">
        <v>1011</v>
      </c>
    </row>
    <row r="16" spans="1:2" x14ac:dyDescent="0.35">
      <c r="A16" s="5">
        <v>12</v>
      </c>
      <c r="B16" s="17" t="s">
        <v>1012</v>
      </c>
    </row>
    <row r="17" spans="1:2" x14ac:dyDescent="0.35">
      <c r="A17" s="5">
        <v>13</v>
      </c>
      <c r="B17" s="17" t="s">
        <v>1013</v>
      </c>
    </row>
    <row r="18" spans="1:2" x14ac:dyDescent="0.35">
      <c r="A18" s="5">
        <v>14</v>
      </c>
      <c r="B18" s="17" t="s">
        <v>1014</v>
      </c>
    </row>
    <row r="19" spans="1:2" x14ac:dyDescent="0.35">
      <c r="A19" s="5">
        <v>15</v>
      </c>
      <c r="B19" s="17" t="s">
        <v>1015</v>
      </c>
    </row>
    <row r="20" spans="1:2" x14ac:dyDescent="0.35">
      <c r="A20" s="5">
        <v>16</v>
      </c>
      <c r="B20" s="17" t="s">
        <v>1016</v>
      </c>
    </row>
    <row r="21" spans="1:2" x14ac:dyDescent="0.35">
      <c r="A21" s="5">
        <v>17</v>
      </c>
      <c r="B21" s="17" t="s">
        <v>1017</v>
      </c>
    </row>
    <row r="22" spans="1:2" x14ac:dyDescent="0.35">
      <c r="A22" s="5">
        <v>18</v>
      </c>
      <c r="B22" s="17" t="s">
        <v>1018</v>
      </c>
    </row>
    <row r="23" spans="1:2" x14ac:dyDescent="0.35">
      <c r="A23" s="5">
        <v>19</v>
      </c>
      <c r="B23" s="17" t="s">
        <v>266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850 Mapping</vt:lpstr>
      <vt:lpstr>810 Mapping</vt:lpstr>
      <vt:lpstr>856 Mapping</vt:lpstr>
      <vt:lpstr>Input 1 - Costco Flat File</vt:lpstr>
      <vt:lpstr>Input 2 - X12 850 Example</vt:lpstr>
      <vt:lpstr>Input 3 - Costco Match (Adam)</vt:lpstr>
      <vt:lpstr>Input 4 - Adam 850 Template</vt:lpstr>
      <vt:lpstr>Input 5 - Walmart Flat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Mark Dallas</cp:lastModifiedBy>
  <cp:revision>0</cp:revision>
  <dcterms:created xsi:type="dcterms:W3CDTF">2026-10-21T11:42:51Z</dcterms:created>
  <dcterms:modified xsi:type="dcterms:W3CDTF">2026-10-26T19:53:54Z</dcterms:modified>
  <dc:language>en-US</dc:language>
</cp:coreProperties>
</file>