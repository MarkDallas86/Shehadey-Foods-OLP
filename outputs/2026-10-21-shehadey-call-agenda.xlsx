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kDallas\GitHub\Shehadey-Foods-OLP\outputs\"/>
    </mc:Choice>
  </mc:AlternateContent>
  <xr:revisionPtr revIDLastSave="0" documentId="13_ncr:1_{20038B81-5848-421E-AEA2-7882CAE485A3}" xr6:coauthVersionLast="47" xr6:coauthVersionMax="47" xr10:uidLastSave="{00000000-0000-0000-0000-000000000000}"/>
  <bookViews>
    <workbookView xWindow="-110" yWindow="-110" windowWidth="22780" windowHeight="14540" tabRatio="500" xr2:uid="{00000000-000D-0000-FFFF-FFFF00000000}"/>
  </bookViews>
  <sheets>
    <sheet name="Agenda" sheetId="1" r:id="rId1"/>
    <sheet name="Internal Team Call" sheetId="2" r:id="rId2"/>
    <sheet name="Questions" sheetId="3" r:id="rId3"/>
    <sheet name="Next Steps" sheetId="4" r:id="rId4"/>
    <sheet name="Blockers" sheetId="5" r:id="rId5"/>
    <sheet name="Spec Requirements" sheetId="6" r:id="rId6"/>
    <sheet name="Parked (Mapping Call)" sheetId="7" r:id="rId7"/>
  </sheets>
  <definedNames>
    <definedName name="_xlnm._FilterDatabase" localSheetId="2" hidden="1">Questions!$A$4:$H$36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D16" i="1"/>
  <c r="D15" i="1"/>
  <c r="D13" i="1"/>
</calcChain>
</file>

<file path=xl/sharedStrings.xml><?xml version="1.0" encoding="utf-8"?>
<sst xmlns="http://schemas.openxmlformats.org/spreadsheetml/2006/main" count="498" uniqueCount="284">
  <si>
    <t>Shehadey Foods — Next Call Agenda</t>
  </si>
  <si>
    <t>Weekly call after the 10/20 working session · times are suggestions</t>
  </si>
  <si>
    <t>#</t>
  </si>
  <si>
    <t>Topic</t>
  </si>
  <si>
    <t>Lead</t>
  </si>
  <si>
    <t>Minutes</t>
  </si>
  <si>
    <t>Notes</t>
  </si>
  <si>
    <t>Recap of 10/20 decisions</t>
  </si>
  <si>
    <t>Mark</t>
  </si>
  <si>
    <t>New Orderful ISA; Concurrent hosts SFTP; Park City stays as-is; Costco first.</t>
  </si>
  <si>
    <t>Costco certification and go-live date</t>
  </si>
  <si>
    <t>Critical question.</t>
  </si>
  <si>
    <t>Costco 856 path: ReposiTrak AS2 + WebEDI for Park City plants; Umpqua 856</t>
  </si>
  <si>
    <t>Mark / Adam</t>
  </si>
  <si>
    <t>Critical + High questions.</t>
  </si>
  <si>
    <t>Mapping review: 850/810/856 drafts and open questions</t>
  </si>
  <si>
    <t>John</t>
  </si>
  <si>
    <t>Walk the Costco mapping workbook; only the open/inferred rows.</t>
  </si>
  <si>
    <t>Cross-reference table and required fields</t>
  </si>
  <si>
    <t>SFTP: folder structure and BizLink connection</t>
  </si>
  <si>
    <t>Concurrent provides details; Adam/Narvel connect.</t>
  </si>
  <si>
    <t>Other open questions</t>
  </si>
  <si>
    <t>Next steps and blockers</t>
  </si>
  <si>
    <t>See tabs.</t>
  </si>
  <si>
    <t>Total minutes</t>
  </si>
  <si>
    <t>Questions open or follow-up</t>
  </si>
  <si>
    <t>Critical still open</t>
  </si>
  <si>
    <t>Answered</t>
  </si>
  <si>
    <t>Shehadey Foods — Internal Team Call (Concurrent)</t>
  </si>
  <si>
    <t>Mark (PM) · John Weathers (sales) · Michele (engineer) · Mauricio (dev). Goal: agree who builds what for the Costco go-live.</t>
  </si>
  <si>
    <t>Agenda (30 min)</t>
  </si>
  <si>
    <t>Where we are</t>
  </si>
  <si>
    <t>Decisions from 10/20: Concurrent hosts SFTP, new Orderful ISA, Park City stays as-is, Costco first. Mapping drafts: 850 89%, 810 86%, 856 75%.</t>
  </si>
  <si>
    <t>Commercial check</t>
  </si>
  <si>
    <t>SFTP hosting cost; scope vs priced doc types (17 in use vs ~7 priced); Park City out of scope; WebEDI is manual for Fairfield/Model.</t>
  </si>
  <si>
    <t>Build plan and estimates</t>
  </si>
  <si>
    <t>Michele / Mauricio</t>
  </si>
  <si>
    <t>Tray workflows, SFTP, and the three Costco maps. What can be ready for Costco go-live?</t>
  </si>
  <si>
    <t>Blockers we can clear ourselves</t>
  </si>
  <si>
    <t>Aptean login, ReposiTrak meeting, WebEDI test approach.</t>
  </si>
  <si>
    <t>Owners and dates</t>
  </si>
  <si>
    <t>Fill in the table below.</t>
  </si>
  <si>
    <t>Internal next steps</t>
  </si>
  <si>
    <t>Owner</t>
  </si>
  <si>
    <t>Action</t>
  </si>
  <si>
    <t>Why / input</t>
  </si>
  <si>
    <t>Due</t>
  </si>
  <si>
    <t>Status</t>
  </si>
  <si>
    <t>Michele</t>
  </si>
  <si>
    <t>Stand up Concurrent-hosted SFTP (sandbox first): inbound/outbound folders, per-plant or per-doc-type layout, SSH key or password, IP allowlist</t>
  </si>
  <si>
    <t>Client connects with BizLink (file mover only)</t>
  </si>
  <si>
    <t>Open</t>
  </si>
  <si>
    <t>Write a one-page BizLink connection guide for Shehadey (host, folders, naming, pickup/archive rules)</t>
  </si>
  <si>
    <t>Client asked us to tell them the folder structure</t>
  </si>
  <si>
    <t>Design the Tray flows: Orderful API → 850 flat file → SFTP; SFTP → 810/856 flat file → Orderful API</t>
  </si>
  <si>
    <t>See integration flow page</t>
  </si>
  <si>
    <t>Decide: hold and alert, or write and let ERMS reject</t>
  </si>
  <si>
    <t>Mauricio</t>
  </si>
  <si>
    <t>Build the 850 writer (Orderful 850 JSON → ERMS pipe file: HDR/HST/HBT/HCM/HAL/LDT/LAL/TOT)</t>
  </si>
  <si>
    <t>outputs/2026-10-21-costco-mapping-workbook.xlsx, 850 tab</t>
  </si>
  <si>
    <t>Build the 810 and 856 parsers: split multi-invoice batches (HDR…TOT); group 856 pallets by HI field 26</t>
  </si>
  <si>
    <t>810 and 856 tabs; client templates in specs/810 and specs/856</t>
  </si>
  <si>
    <t>Test against real samples: 59 850 flat files, EDITESTredacted.810, EDI_UW.856, EDI_RA_redacted.856</t>
  </si>
  <si>
    <t>specs/*/samples in the repo</t>
  </si>
  <si>
    <t>Michele + Mauricio</t>
  </si>
  <si>
    <t>Review inferred (🟡) and open (❓) rows; send one consolidated question list to Adam via Mark</t>
  </si>
  <si>
    <t>specs/*/questions.md</t>
  </si>
  <si>
    <t>Fix Aptean access with Adam (saved URL/login not working); pull a Costco raw 850 + matching flat file</t>
  </si>
  <si>
    <t>Turns 850 inferred rows into verified</t>
  </si>
  <si>
    <t>Join Kelly/Adam meeting on ReposiTrak AS2 (Park City Costco 850s into Orderful)</t>
  </si>
  <si>
    <t>Needed for WebEDI 856s at Fairfield/Model</t>
  </si>
  <si>
    <t>Confirm with Orderful how to test the WebEDI 856 setup for Costco</t>
  </si>
  <si>
    <t>Mark's note on Next Steps</t>
  </si>
  <si>
    <t>Push trade requests (new Orderful ISA, Costco first)</t>
  </si>
  <si>
    <t>Confirm SFTP hosting cost and whether it changes the quote</t>
  </si>
  <si>
    <t>Client prefers Concurrent-hosted</t>
  </si>
  <si>
    <t>Check scope vs contract: doc types priced vs in use; Umpqua 856 approach (RA has no SSCC)</t>
  </si>
  <si>
    <t>Avoid unpriced work</t>
  </si>
  <si>
    <t>Team</t>
  </si>
  <si>
    <t>Agree a Costco target date to give the client, once certification date is known</t>
  </si>
  <si>
    <t>Costco sets go-live after certification</t>
  </si>
  <si>
    <t>Risks to discuss</t>
  </si>
  <si>
    <t>—</t>
  </si>
  <si>
    <t>Specs are AI-built templates, not formal ERMS specs</t>
  </si>
  <si>
    <t>Mapping must be tested against real files before trusting it</t>
  </si>
  <si>
    <t>Costco go-live may come fast after certification; SPS cost (~$300–400/month) adds pressure</t>
  </si>
  <si>
    <t>EDI_UW.856 sample is unredacted (real pricing/store data)</t>
  </si>
  <si>
    <t>Keep the repo private; don't share outside the team</t>
  </si>
  <si>
    <t>Shehadey Foods — Questions</t>
  </si>
  <si>
    <t>Open and follow-up questions first; answered questions (gray) at the bottom. Updated from the 10/20 call transcript.</t>
  </si>
  <si>
    <t>Priority</t>
  </si>
  <si>
    <t>Question</t>
  </si>
  <si>
    <t>Context</t>
  </si>
  <si>
    <t>Answer / notes</t>
  </si>
  <si>
    <t>10/22 or after Mark notes</t>
  </si>
  <si>
    <t>Critical</t>
  </si>
  <si>
    <t>Files</t>
  </si>
  <si>
    <t>Can you send a Costco raw 850 and the flat file Aptean produced from it (Umpqua/SPS)? Or confirm we should pull both from Aptean ourselves.</t>
  </si>
  <si>
    <t>Only Walmart/Sam's raw 850s were uploaded. A Costco pair takes the 850 mapping from ~89% to near 100%.</t>
  </si>
  <si>
    <t>Adam</t>
  </si>
  <si>
    <t>Mark to try pulling from Aptean first using the credentials in the Orderful credential vault.</t>
  </si>
  <si>
    <t>Follow-up</t>
  </si>
  <si>
    <t xml:space="preserve">Mark to follow up with Adam - log in saved in Orderful is not working </t>
  </si>
  <si>
    <t>Costco 856 (Park City plants)</t>
  </si>
  <si>
    <t>Can Park City / ReposiTrak send a copy of the Costco 850 (or 852) to Orderful over AS2?</t>
  </si>
  <si>
    <t>Without an 850 in Orderful, WebEDI can't build the 856 for Fairfield and Model.</t>
  </si>
  <si>
    <t>Adam to contact Park City / ReposiTrak.</t>
  </si>
  <si>
    <t>Adam emailed Kelly asking about how we could connecto to ReposiTrak via AS2. She requested a time to meet</t>
  </si>
  <si>
    <t>Costco go-live</t>
  </si>
  <si>
    <t>What is the Costco certification status and target go-live date?</t>
  </si>
  <si>
    <t>Certification target of 10/15 was missed; Costco sets go-live after certification. SPS costs $100/vendor/month and is growing.</t>
  </si>
  <si>
    <t>Cross-reference</t>
  </si>
  <si>
    <t>Can you send the ERMS cross-reference table (store/ship-to and item cross-references)?</t>
  </si>
  <si>
    <t>Confirmed on the call that ERMS uses a cross-reference table (e.g., store 482). One miss drops the whole file.</t>
  </si>
  <si>
    <t>Adam / Narvel</t>
  </si>
  <si>
    <t>Specs</t>
  </si>
  <si>
    <t>Is there an 'IN 810 file layout' document (and equivalents for the 850/856)? Your 810 template refers to it.</t>
  </si>
  <si>
    <t>Would close several unknown header fields (810 HDR 14, 18, 19, 28; 856 HDR 13–18).</t>
  </si>
  <si>
    <t>Short question to Adam - are there any other flat file specs (810, 856, 850, 852) other than those provided?</t>
  </si>
  <si>
    <t>High</t>
  </si>
  <si>
    <t>Aptean</t>
  </si>
  <si>
    <t>Does Aptean apply partner-specific logic or cross-references on top of the ERMS layout?</t>
  </si>
  <si>
    <t>Adam: Aptean maps X12 to what ERMS needs; anything extra is ignored. Partner-specific rules not confirmed.</t>
  </si>
  <si>
    <t>Partly answered; we'll check maps in Aptean.</t>
  </si>
  <si>
    <t>Gain access and check maps in Aptean</t>
  </si>
  <si>
    <t>ERMS import</t>
  </si>
  <si>
    <t>Which fields must be populated for ERMS to import (field level, not just record types)?</t>
  </si>
  <si>
    <t>Adam: ERMS needs only the HDR/HST/HBT/HCM/LDT/TOT records; other data ignored. Field-level rules still unknown.</t>
  </si>
  <si>
    <t>Record-level answer only.</t>
  </si>
  <si>
    <t>How should Tray handle an order missing required data: write the file anyway and let ERMS reject it, or hold it and alert?</t>
  </si>
  <si>
    <t>ERMS drops the whole file on an error and failures are silent.</t>
  </si>
  <si>
    <t>Adam / John</t>
  </si>
  <si>
    <t>Does ERMS have a test environment, or a way to keep test 850s out of production?</t>
  </si>
  <si>
    <t>856</t>
  </si>
  <si>
    <t>For Umpqua Costco, will the 856 come from the RA program (no SSCC) or manual WebEDI? Costco requires SSCC labels.</t>
  </si>
  <si>
    <t>Umpqua has no WMS; RA-style data can't show pallets or short ships.</t>
  </si>
  <si>
    <t>Which flat file field is the true shipped quantity (HI 13 vs HI 14)? Where do ship-from, carrier, BOL and weight come from?</t>
  </si>
  <si>
    <t>HI 14 is 0 in the UW sample; no source for N1*SF, TD5, REF*BM, TD1.</t>
  </si>
  <si>
    <t>SFTP</t>
  </si>
  <si>
    <t>Can BizLink send one file to two destinations (for comparing against Aptean during testing)?</t>
  </si>
  <si>
    <t>Adam: BizLink is a file mover and supports many setups.</t>
  </si>
  <si>
    <t>Costco pilot</t>
  </si>
  <si>
    <t>Can you share the SPS testing portal credentials?</t>
  </si>
  <si>
    <t>Kickoff action item.</t>
  </si>
  <si>
    <t>Plant routing</t>
  </si>
  <si>
    <t>Confirm how each partner identifies the plant in the 850 (DUNS, store number, buyer-vendor number).</t>
  </si>
  <si>
    <t>Becky: DUNS identifies the location. Needed because all partners move to one Orderful ISA.</t>
  </si>
  <si>
    <t>Adam / Becky</t>
  </si>
  <si>
    <t>Medium</t>
  </si>
  <si>
    <t>Partners</t>
  </si>
  <si>
    <t>When can we get the Mid Valley (Phase 2) partner list?</t>
  </si>
  <si>
    <t>Becky</t>
  </si>
  <si>
    <t>Doc types</t>
  </si>
  <si>
    <t>Do the 820, 812, 864 and 824 need to go into ERMS, or is viewing them in Orderful enough?</t>
  </si>
  <si>
    <t>Where does the 855 come from today?</t>
  </si>
  <si>
    <t>What do the NCS and NCW file prefixes mean, and what naming must Tray use?</t>
  </si>
  <si>
    <t>What's the biggest frustration with Aptean today, and what does success look like?</t>
  </si>
  <si>
    <t>Heard so far: Aptean portal is clunky, multiple ID sets are confusing, limited documentation since the iSeries/EDI lead retired, SPS cost growing.</t>
  </si>
  <si>
    <t>Steve / Adam</t>
  </si>
  <si>
    <t>Partly answered.</t>
  </si>
  <si>
    <t>Who will own and host the SFTP server?</t>
  </si>
  <si>
    <t>Concurrent hosts it ('way easier for us'). Concurrent provides inbound/outbound folders and instructions; Adam and Narvel connect BizLink (file mover only). John to confirm any added cost internally.</t>
  </si>
  <si>
    <t>File types</t>
  </si>
  <si>
    <t>Will ERMS expect two 850 file types (Park City fixed-width and pipe-delimited)?</t>
  </si>
  <si>
    <t>Park City orders are downloaded directly from Park City's site (not EDI) for Fresno, Fairfield and Model (VMI: Walmart, Sam's, Costco, maybe Pitco). Plan: leave Park City as-is, so Tray only builds the pipe-delimited (NCS/NCW) format. Umpqua trades direct via EDI.</t>
  </si>
  <si>
    <t>Specs + payloads</t>
  </si>
  <si>
    <t>Can you send a spec for every document type plus related payloads?</t>
  </si>
  <si>
    <t>Adam's mapping templates are the spec (no formal spec exists). Received: 850/810/856 templates, 59 production 850 flat files, 810 and 856 samples, Park City layouts (Costco 50A, Walmart 60A, Pitco), 6 raw Walmart/Sam's 850s. Aptean access provided to pull raw X12.</t>
  </si>
  <si>
    <t>Aptean vs ERMS</t>
  </si>
  <si>
    <t>Are the Aptean mappings the same as the ERMS flat file mappings?</t>
  </si>
  <si>
    <t>Aptean translates X12 into the ERMS flat file 'based on what you told us you need.' The flat file is what Tray must reproduce. Partner-specific logic: see follow-up above.</t>
  </si>
  <si>
    <t>Which Costco relationships are in the pilot?</t>
  </si>
  <si>
    <t>Two channels: (1) Umpqua via SPS: 850 in, 810 out, 856 in testing. (2) Park City VMI for Fresno/Fairfield/Model: 852 carbon copy to Park City, 850 by direct download, 856 now required. Fresno has a WMS; Fairfield (~10 Costcos, ~10/day) and Model manual via WebEDI; Umpqua 2 products about twice a week.</t>
  </si>
  <si>
    <t>ISA IDs</t>
  </si>
  <si>
    <t>Keep plant-based ISA IDs or switch to new Orderful ISA IDs?</t>
  </si>
  <si>
    <t>Switch to new Orderful ISA IDs for all partners (consolidates Umpqua, Producers and Mid Valley ID sets). Plant identified by DUNS / store in the 850.</t>
  </si>
  <si>
    <t>Working model</t>
  </si>
  <si>
    <t>Who answers field-level questions while we map offline?</t>
  </si>
  <si>
    <t>Adam (with Narvel). Concurrent maps offline, sends questions, reviews at the weekly meeting.</t>
  </si>
  <si>
    <t>How does ERMS identify the ship-to and bill-to?</t>
  </si>
  <si>
    <t>By an ID that ERMS looks up in its cross-reference table; ERMS takes the bare minimum and does the rest.</t>
  </si>
  <si>
    <t>How will Costco ASNs and labels be handled?</t>
  </si>
  <si>
    <t>Fresno automated via WMS; Fairfield and Model manual via Orderful WebEDI (SCAC can be hardcoded to their own trucks). WMS for remaining plants targeted by end of next year.</t>
  </si>
  <si>
    <t>Is the partner list complete so we can mass upload?</t>
  </si>
  <si>
    <t>Proceed: Mark pushes trade requests now with the new Orderful ISA, Costco first. A few partners still have questions.</t>
  </si>
  <si>
    <t>Confirm the 852 carbon copy setup.</t>
  </si>
  <si>
    <t>ERMS does not process the 852 (Narvel confirmed). Orderful can accept it, return a 997, and optionally email a notice.</t>
  </si>
  <si>
    <t>Orderful</t>
  </si>
  <si>
    <t>Status of historical data in the Orderful UI?</t>
  </si>
  <si>
    <t>Uploaded to Orderful Historical Data as 3 zips (files renamed): Park City layouts, 59 flat files, 6 raw 850s.</t>
  </si>
  <si>
    <t>Background</t>
  </si>
  <si>
    <t>What are parse_pipe_850.py / parse_pcg_fixed.py?</t>
  </si>
  <si>
    <t>Adam's own Claude-built scripts (redactor + parser) used to build the mapping templates.</t>
  </si>
  <si>
    <t>Next Steps</t>
  </si>
  <si>
    <t>From the 10/20 call. Fill in due dates.</t>
  </si>
  <si>
    <t>Due date</t>
  </si>
  <si>
    <t>10/22 or after Mark Notes</t>
  </si>
  <si>
    <t>Ask Claude</t>
  </si>
  <si>
    <t>Concurrent (John)</t>
  </si>
  <si>
    <t>Stand up SFTP with inbound/outbound folders; send connection details and instructions</t>
  </si>
  <si>
    <t>Confirm SFTP hosting cost internally</t>
  </si>
  <si>
    <t>Concurrent (Mark)</t>
  </si>
  <si>
    <t>Push trade requests (mass upload) with new Orderful ISA, Costco first</t>
  </si>
  <si>
    <t>Log in to Aptean (credential vault) and pull Costco raw 850s matching the NCS flat files</t>
  </si>
  <si>
    <t>Aptean credentails not working (URL seems wrong), must follow up with Adam</t>
  </si>
  <si>
    <t>Concurrent (John + Claude)</t>
  </si>
  <si>
    <t>Confirm inferred rows in the Costco mapping workbook against Costco pairs and Orderful guidelines; send questions to Adam</t>
  </si>
  <si>
    <t>Set up WebEDI for Costco 856s (Park City plants); hardcode SCAC</t>
  </si>
  <si>
    <t xml:space="preserve">How to test the Web EDI set up? </t>
  </si>
  <si>
    <t>Configure 852 receipt with 997 (no ERMS file) in Orderful</t>
  </si>
  <si>
    <t>Send recap email; update Asana and repo</t>
  </si>
  <si>
    <t>Shehadey (Adam)</t>
  </si>
  <si>
    <t>Contact Park City / ReposiTrak about an AS2 copy of the 850 (or 852) to Orderful</t>
  </si>
  <si>
    <t>Kelly asked for a meeting with Adam to scope this request</t>
  </si>
  <si>
    <t>Create current-state document / flow chart: Umpqua-Costco-SPS path, Park City path, gaps</t>
  </si>
  <si>
    <t>Send the Park City translation document and the raw 850 behind the mapped flat file</t>
  </si>
  <si>
    <t>Send the ERMS cross-reference table and the 'IN 810 file layout' doc</t>
  </si>
  <si>
    <t>Shehadey (Adam + Narvel)</t>
  </si>
  <si>
    <t>Connect BizLink to the Concurrent SFTP once ready</t>
  </si>
  <si>
    <t>Confirm Costco certification status and go-live date</t>
  </si>
  <si>
    <t>Confirm support for UCS doc types, version 4030, and clearinghouse routing</t>
  </si>
  <si>
    <t xml:space="preserve">What is UCS what is clearing house routing? </t>
  </si>
  <si>
    <t>Confirm or walk back the former sales rep's commitments</t>
  </si>
  <si>
    <t>Forward Adam's 810/856 email (received)</t>
  </si>
  <si>
    <t>Done</t>
  </si>
  <si>
    <t>Blockers</t>
  </si>
  <si>
    <t>What's holding the project up, and who clears it.</t>
  </si>
  <si>
    <t>Blocker</t>
  </si>
  <si>
    <t>Impact</t>
  </si>
  <si>
    <t>Owner to clear</t>
  </si>
  <si>
    <t>Target date</t>
  </si>
  <si>
    <t>SFTP not yet provisioned</t>
  </si>
  <si>
    <t>No BizLink connectivity or end-to-end testing</t>
  </si>
  <si>
    <t>No Costco raw 850 + matching flat file</t>
  </si>
  <si>
    <t>850 mapping can't be fully verified</t>
  </si>
  <si>
    <t>Mark (Aptean) / Adam</t>
  </si>
  <si>
    <t>No 850 in Orderful for Park City Costco orders</t>
  </si>
  <si>
    <t>WebEDI can't build 856s for Fairfield/Model</t>
  </si>
  <si>
    <t>Adam (ReposiTrak AS2)</t>
  </si>
  <si>
    <t>Costco certification and go-live date unknown</t>
  </si>
  <si>
    <t>Timeline can't be set</t>
  </si>
  <si>
    <t>ERMS cross-reference table not received</t>
  </si>
  <si>
    <t>Can't validate files before sending</t>
  </si>
  <si>
    <t>Umpqua 856 lacks SSCC data</t>
  </si>
  <si>
    <t>Automated Costco 856 may not pass</t>
  </si>
  <si>
    <t>Field-level required fields unknown</t>
  </si>
  <si>
    <t>Risk of ERMS silently dropping files</t>
  </si>
  <si>
    <t>What a Usable Flat File Spec Must Include</t>
  </si>
  <si>
    <t>Adam's mapping templates are being used as the spec; this checklist shows what's still missing.</t>
  </si>
  <si>
    <t>Area</t>
  </si>
  <si>
    <t>Requirement</t>
  </si>
  <si>
    <t>Covered? (Y/N/Partial)</t>
  </si>
  <si>
    <t>Scope</t>
  </si>
  <si>
    <t>One spec per document type and direction, per system</t>
  </si>
  <si>
    <t>Y</t>
  </si>
  <si>
    <t>File structure</t>
  </si>
  <si>
    <t>Record types, order, which repeat</t>
  </si>
  <si>
    <t>Delimiter or fixed positions; line endings; encoding</t>
  </si>
  <si>
    <t>One order per file or many</t>
  </si>
  <si>
    <t>Fields</t>
  </si>
  <si>
    <t>Every field by record and position, name, description</t>
  </si>
  <si>
    <t>Partial</t>
  </si>
  <si>
    <t>Data type and length</t>
  </si>
  <si>
    <t>Required / optional / conditional</t>
  </si>
  <si>
    <t>N</t>
  </si>
  <si>
    <t>Formats: dates, decimals, padding</t>
  </si>
  <si>
    <t>Valid code values</t>
  </si>
  <si>
    <t>Which fields ERMS checks against the cross-reference table</t>
  </si>
  <si>
    <t>Behavior</t>
  </si>
  <si>
    <t>Error handling</t>
  </si>
  <si>
    <t>How the plant is identified</t>
  </si>
  <si>
    <t>Partner-specific variations</t>
  </si>
  <si>
    <t>Delivery</t>
  </si>
  <si>
    <t>File naming and folders</t>
  </si>
  <si>
    <t>Samples</t>
  </si>
  <si>
    <t>Raw EDI + matching flat file per document type</t>
  </si>
  <si>
    <t>Parked for the Mapping Call</t>
  </si>
  <si>
    <t>Line-level questions now tracked in specs/&lt;doc&gt;/questions.md and the mapping workbook.</t>
  </si>
  <si>
    <t>HDR 8–10, 12–20, 35–38 (850): unused?</t>
  </si>
  <si>
    <t>LDT 26 (850): what is the 0?</t>
  </si>
  <si>
    <t>UOM code list beyond CA/EA</t>
  </si>
  <si>
    <t>Allowance rate basis (per case vs per unit) from ERMS note table</t>
  </si>
  <si>
    <t>HCM: all partner notes and legal text into HCM?</t>
  </si>
  <si>
    <t>Design error handling and alerts: ERMS drops a whole file on one bad record and fails silently.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</si>
</sst>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00"/>
      <name val="Arial"/>
      <charset val="1"/>
    </font>
    <font>
      <sz val="10"/>
      <color rgb="FF666666"/>
      <name val="Arial"/>
      <charset val="1"/>
    </font>
    <font>
      <b/>
      <sz val="14"/>
      <name val="Arial"/>
    </font>
    <font>
      <i/>
      <sz val="9"/>
      <color rgb="FF555555"/>
      <name val="Arial"/>
    </font>
    <font>
      <b/>
      <sz val="11"/>
      <name val="Arial"/>
    </font>
    <font>
      <sz val="10"/>
      <color rgb="FF000000"/>
      <name val="Arial"/>
    </font>
    <font>
      <b/>
      <sz val="10"/>
      <color rgb="FFFFFFFF"/>
      <name val="Arial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FCE4E4"/>
        <bgColor rgb="FFEDEDED"/>
      </patternFill>
    </fill>
    <fill>
      <patternFill patternType="solid">
        <fgColor rgb="FFFFFF99"/>
        <bgColor rgb="FFFFF4D6"/>
      </patternFill>
    </fill>
    <fill>
      <patternFill patternType="solid">
        <fgColor rgb="FFFFF4D6"/>
        <bgColor rgb="FFFCE4E4"/>
      </patternFill>
    </fill>
    <fill>
      <patternFill patternType="solid">
        <fgColor rgb="FFEDEDED"/>
        <bgColor rgb="FFFCE4E4"/>
      </patternFill>
    </fill>
    <fill>
      <patternFill patternType="solid">
        <fgColor rgb="FFD9E1F2"/>
      </patternFill>
    </fill>
    <fill>
      <patternFill patternType="solid">
        <fgColor rgb="FF1F3A5F"/>
      </patternFill>
    </fill>
    <fill>
      <patternFill patternType="solid">
        <fgColor rgb="FFFFFF99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4" fillId="0" borderId="0" xfId="0" applyFont="1"/>
    <xf numFmtId="0" fontId="3" fillId="2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6" fillId="3" borderId="2" xfId="0" applyFont="1" applyFill="1" applyBorder="1" applyAlignment="1">
      <alignment vertical="top" wrapText="1"/>
    </xf>
    <xf numFmtId="0" fontId="6" fillId="3" borderId="3" xfId="0" applyFont="1" applyFill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8" fillId="0" borderId="0" xfId="0" applyFont="1"/>
    <xf numFmtId="0" fontId="9" fillId="0" borderId="0" xfId="0" applyFont="1"/>
    <xf numFmtId="0" fontId="10" fillId="7" borderId="0" xfId="0" applyFont="1" applyFill="1"/>
    <xf numFmtId="0" fontId="0" fillId="7" borderId="0" xfId="0" applyFill="1"/>
    <xf numFmtId="0" fontId="12" fillId="8" borderId="4" xfId="0" applyFont="1" applyFill="1" applyBorder="1"/>
    <xf numFmtId="0" fontId="11" fillId="0" borderId="4" xfId="0" applyFont="1" applyBorder="1" applyAlignment="1">
      <alignment vertical="top" wrapText="1"/>
    </xf>
    <xf numFmtId="0" fontId="12" fillId="8" borderId="4" xfId="0" applyFont="1" applyFill="1" applyBorder="1" applyAlignment="1">
      <alignment vertical="top" wrapText="1"/>
    </xf>
    <xf numFmtId="0" fontId="11" fillId="9" borderId="4" xfId="0" applyFont="1" applyFill="1" applyBorder="1" applyAlignment="1">
      <alignment vertical="top" wrapText="1"/>
    </xf>
    <xf numFmtId="0" fontId="11" fillId="10" borderId="4" xfId="0" applyFont="1" applyFill="1" applyBorder="1" applyAlignment="1">
      <alignment vertical="top" wrapText="1"/>
    </xf>
    <xf numFmtId="0" fontId="13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4D6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Normal="100" workbookViewId="0">
      <selection activeCell="E15" sqref="E15"/>
    </sheetView>
  </sheetViews>
  <sheetFormatPr defaultColWidth="8.6328125" defaultRowHeight="14.5" x14ac:dyDescent="0.35"/>
  <cols>
    <col min="1" max="1" width="5" customWidth="1"/>
    <col min="2" max="2" width="58" customWidth="1"/>
    <col min="3" max="3" width="14" customWidth="1"/>
    <col min="4" max="4" width="10" customWidth="1"/>
    <col min="5" max="5" width="56" customWidth="1"/>
  </cols>
  <sheetData>
    <row r="1" spans="1:5" ht="18" customHeight="1" x14ac:dyDescent="0.4">
      <c r="A1" s="1" t="s">
        <v>0</v>
      </c>
    </row>
    <row r="2" spans="1:5" x14ac:dyDescent="0.35">
      <c r="A2" s="2" t="s">
        <v>1</v>
      </c>
    </row>
    <row r="4" spans="1:5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5" customHeight="1" x14ac:dyDescent="0.35">
      <c r="A5" s="4">
        <v>1</v>
      </c>
      <c r="B5" s="4" t="s">
        <v>7</v>
      </c>
      <c r="C5" s="4" t="s">
        <v>8</v>
      </c>
      <c r="D5" s="4">
        <v>3</v>
      </c>
      <c r="E5" s="4" t="s">
        <v>9</v>
      </c>
    </row>
    <row r="6" spans="1:5" x14ac:dyDescent="0.35">
      <c r="A6" s="4">
        <v>2</v>
      </c>
      <c r="B6" s="4" t="s">
        <v>10</v>
      </c>
      <c r="C6" s="4" t="s">
        <v>8</v>
      </c>
      <c r="D6" s="4">
        <v>5</v>
      </c>
      <c r="E6" s="4" t="s">
        <v>11</v>
      </c>
    </row>
    <row r="7" spans="1:5" ht="25" customHeight="1" x14ac:dyDescent="0.35">
      <c r="A7" s="4">
        <v>3</v>
      </c>
      <c r="B7" s="4" t="s">
        <v>12</v>
      </c>
      <c r="C7" s="4" t="s">
        <v>13</v>
      </c>
      <c r="D7" s="4">
        <v>8</v>
      </c>
      <c r="E7" s="4" t="s">
        <v>14</v>
      </c>
    </row>
    <row r="8" spans="1:5" x14ac:dyDescent="0.35">
      <c r="A8" s="4">
        <v>4</v>
      </c>
      <c r="B8" s="4" t="s">
        <v>15</v>
      </c>
      <c r="C8" s="4" t="s">
        <v>16</v>
      </c>
      <c r="D8" s="4">
        <v>15</v>
      </c>
      <c r="E8" s="4" t="s">
        <v>17</v>
      </c>
    </row>
    <row r="9" spans="1:5" x14ac:dyDescent="0.35">
      <c r="A9" s="4">
        <v>5</v>
      </c>
      <c r="B9" s="4" t="s">
        <v>18</v>
      </c>
      <c r="C9" s="4" t="s">
        <v>16</v>
      </c>
      <c r="D9" s="4">
        <v>5</v>
      </c>
      <c r="E9" s="4"/>
    </row>
    <row r="10" spans="1:5" x14ac:dyDescent="0.35">
      <c r="A10" s="4">
        <v>6</v>
      </c>
      <c r="B10" s="4" t="s">
        <v>19</v>
      </c>
      <c r="C10" s="4" t="s">
        <v>16</v>
      </c>
      <c r="D10" s="4">
        <v>5</v>
      </c>
      <c r="E10" s="4" t="s">
        <v>20</v>
      </c>
    </row>
    <row r="11" spans="1:5" x14ac:dyDescent="0.35">
      <c r="A11" s="4">
        <v>7</v>
      </c>
      <c r="B11" s="4" t="s">
        <v>21</v>
      </c>
      <c r="C11" s="4" t="s">
        <v>8</v>
      </c>
      <c r="D11" s="4">
        <v>4</v>
      </c>
      <c r="E11" s="4"/>
    </row>
    <row r="12" spans="1:5" x14ac:dyDescent="0.35">
      <c r="A12" s="4">
        <v>8</v>
      </c>
      <c r="B12" s="4" t="s">
        <v>22</v>
      </c>
      <c r="C12" s="4" t="s">
        <v>8</v>
      </c>
      <c r="D12" s="4">
        <v>5</v>
      </c>
      <c r="E12" s="4" t="s">
        <v>23</v>
      </c>
    </row>
    <row r="13" spans="1:5" x14ac:dyDescent="0.35">
      <c r="B13" s="5" t="s">
        <v>24</v>
      </c>
      <c r="D13" s="5">
        <f>SUM(D5:D12)</f>
        <v>50</v>
      </c>
    </row>
    <row r="15" spans="1:5" x14ac:dyDescent="0.35">
      <c r="B15" s="5" t="s">
        <v>25</v>
      </c>
      <c r="D15" s="6">
        <f>COUNTIF(Questions!H5:H36,"Open")+COUNTIF(Questions!H5:H36,"Follow-up")</f>
        <v>19</v>
      </c>
    </row>
    <row r="16" spans="1:5" x14ac:dyDescent="0.35">
      <c r="B16" s="5" t="s">
        <v>26</v>
      </c>
      <c r="D16" s="6">
        <f>COUNTIFS(Questions!B5:B36,"Critical",Questions!H5:H36,"&lt;&gt;Answered")</f>
        <v>5</v>
      </c>
    </row>
    <row r="17" spans="2:4" x14ac:dyDescent="0.35">
      <c r="B17" s="5" t="s">
        <v>27</v>
      </c>
      <c r="D17" s="6">
        <f>COUNTIF(Questions!H5:H36,"Answered")</f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topLeftCell="A7" workbookViewId="0">
      <selection activeCell="D16" sqref="D16"/>
    </sheetView>
  </sheetViews>
  <sheetFormatPr defaultRowHeight="14.5" x14ac:dyDescent="0.35"/>
  <cols>
    <col min="1" max="1" width="6" customWidth="1"/>
    <col min="2" max="2" width="22" customWidth="1"/>
    <col min="3" max="3" width="66" customWidth="1"/>
    <col min="4" max="4" width="48" customWidth="1"/>
    <col min="5" max="5" width="12" customWidth="1"/>
    <col min="6" max="6" width="10" customWidth="1"/>
  </cols>
  <sheetData>
    <row r="1" spans="1:6" ht="18" x14ac:dyDescent="0.4">
      <c r="A1" s="18" t="s">
        <v>28</v>
      </c>
    </row>
    <row r="2" spans="1:6" x14ac:dyDescent="0.35">
      <c r="A2" s="19" t="s">
        <v>29</v>
      </c>
    </row>
    <row r="4" spans="1:6" x14ac:dyDescent="0.35">
      <c r="A4" s="20" t="s">
        <v>30</v>
      </c>
      <c r="B4" s="21"/>
      <c r="C4" s="21"/>
      <c r="D4" s="21"/>
      <c r="E4" s="21"/>
      <c r="F4" s="21"/>
    </row>
    <row r="5" spans="1:6" x14ac:dyDescent="0.35">
      <c r="A5" s="22" t="s">
        <v>2</v>
      </c>
      <c r="B5" s="22" t="s">
        <v>3</v>
      </c>
      <c r="C5" s="22" t="s">
        <v>4</v>
      </c>
      <c r="D5" s="22" t="s">
        <v>6</v>
      </c>
    </row>
    <row r="6" spans="1:6" ht="37.5" x14ac:dyDescent="0.35">
      <c r="A6" s="23">
        <v>1</v>
      </c>
      <c r="B6" s="23" t="s">
        <v>31</v>
      </c>
      <c r="C6" s="23" t="s">
        <v>8</v>
      </c>
      <c r="D6" s="23" t="s">
        <v>32</v>
      </c>
      <c r="E6" s="23"/>
      <c r="F6" s="23"/>
    </row>
    <row r="7" spans="1:6" ht="37.5" x14ac:dyDescent="0.35">
      <c r="A7" s="23">
        <v>2</v>
      </c>
      <c r="B7" s="23" t="s">
        <v>33</v>
      </c>
      <c r="C7" s="23" t="s">
        <v>16</v>
      </c>
      <c r="D7" s="23" t="s">
        <v>34</v>
      </c>
      <c r="E7" s="23"/>
      <c r="F7" s="23"/>
    </row>
    <row r="8" spans="1:6" ht="25" x14ac:dyDescent="0.35">
      <c r="A8" s="23">
        <v>3</v>
      </c>
      <c r="B8" s="23" t="s">
        <v>35</v>
      </c>
      <c r="C8" s="23" t="s">
        <v>36</v>
      </c>
      <c r="D8" s="26" t="s">
        <v>37</v>
      </c>
      <c r="E8" s="23"/>
      <c r="F8" s="23"/>
    </row>
    <row r="9" spans="1:6" ht="25" x14ac:dyDescent="0.35">
      <c r="A9" s="23">
        <v>4</v>
      </c>
      <c r="B9" s="23" t="s">
        <v>38</v>
      </c>
      <c r="C9" s="23" t="s">
        <v>8</v>
      </c>
      <c r="D9" s="23" t="s">
        <v>39</v>
      </c>
      <c r="E9" s="23"/>
      <c r="F9" s="23"/>
    </row>
    <row r="10" spans="1:6" x14ac:dyDescent="0.35">
      <c r="A10" s="23">
        <v>5</v>
      </c>
      <c r="B10" s="23" t="s">
        <v>40</v>
      </c>
      <c r="C10" s="23" t="s">
        <v>8</v>
      </c>
      <c r="D10" s="23" t="s">
        <v>41</v>
      </c>
      <c r="E10" s="23"/>
      <c r="F10" s="23"/>
    </row>
    <row r="11" spans="1:6" x14ac:dyDescent="0.35">
      <c r="A11" s="20" t="s">
        <v>42</v>
      </c>
      <c r="B11" s="21"/>
      <c r="C11" s="21"/>
      <c r="D11" s="21"/>
      <c r="E11" s="21"/>
      <c r="F11" s="21"/>
    </row>
    <row r="12" spans="1:6" x14ac:dyDescent="0.35">
      <c r="A12" s="24" t="s">
        <v>2</v>
      </c>
      <c r="B12" s="24" t="s">
        <v>43</v>
      </c>
      <c r="C12" s="24" t="s">
        <v>44</v>
      </c>
      <c r="D12" s="24" t="s">
        <v>45</v>
      </c>
      <c r="E12" s="24" t="s">
        <v>46</v>
      </c>
      <c r="F12" s="24" t="s">
        <v>47</v>
      </c>
    </row>
    <row r="13" spans="1:6" ht="25" x14ac:dyDescent="0.35">
      <c r="A13" s="23">
        <v>1</v>
      </c>
      <c r="B13" s="23" t="s">
        <v>48</v>
      </c>
      <c r="C13" s="23" t="s">
        <v>49</v>
      </c>
      <c r="D13" s="23" t="s">
        <v>50</v>
      </c>
      <c r="E13" s="25"/>
      <c r="F13" s="25" t="s">
        <v>51</v>
      </c>
    </row>
    <row r="14" spans="1:6" ht="25" x14ac:dyDescent="0.35">
      <c r="A14" s="23">
        <v>2</v>
      </c>
      <c r="B14" s="23" t="s">
        <v>48</v>
      </c>
      <c r="C14" s="23" t="s">
        <v>52</v>
      </c>
      <c r="D14" s="23" t="s">
        <v>53</v>
      </c>
      <c r="E14" s="25"/>
      <c r="F14" s="25" t="s">
        <v>51</v>
      </c>
    </row>
    <row r="15" spans="1:6" ht="25" x14ac:dyDescent="0.35">
      <c r="A15" s="23">
        <v>3</v>
      </c>
      <c r="B15" s="23" t="s">
        <v>48</v>
      </c>
      <c r="C15" s="23" t="s">
        <v>54</v>
      </c>
      <c r="D15" s="23" t="s">
        <v>55</v>
      </c>
      <c r="E15" s="25"/>
      <c r="F15" s="25" t="s">
        <v>51</v>
      </c>
    </row>
    <row r="16" spans="1:6" ht="25" x14ac:dyDescent="0.35">
      <c r="A16" s="23">
        <v>4</v>
      </c>
      <c r="B16" s="23" t="s">
        <v>48</v>
      </c>
      <c r="C16" s="27" t="s">
        <v>283</v>
      </c>
      <c r="D16" s="23" t="s">
        <v>56</v>
      </c>
      <c r="E16" s="25"/>
      <c r="F16" s="25" t="s">
        <v>51</v>
      </c>
    </row>
    <row r="17" spans="1:6" ht="25" x14ac:dyDescent="0.35">
      <c r="A17" s="23">
        <v>5</v>
      </c>
      <c r="B17" s="23" t="s">
        <v>57</v>
      </c>
      <c r="C17" s="23" t="s">
        <v>58</v>
      </c>
      <c r="D17" s="23" t="s">
        <v>59</v>
      </c>
      <c r="E17" s="25"/>
      <c r="F17" s="25" t="s">
        <v>51</v>
      </c>
    </row>
    <row r="18" spans="1:6" ht="25" x14ac:dyDescent="0.35">
      <c r="A18" s="23">
        <v>6</v>
      </c>
      <c r="B18" s="23" t="s">
        <v>57</v>
      </c>
      <c r="C18" s="23" t="s">
        <v>60</v>
      </c>
      <c r="D18" s="23" t="s">
        <v>61</v>
      </c>
      <c r="E18" s="25"/>
      <c r="F18" s="25" t="s">
        <v>51</v>
      </c>
    </row>
    <row r="19" spans="1:6" ht="25" x14ac:dyDescent="0.35">
      <c r="A19" s="23">
        <v>7</v>
      </c>
      <c r="B19" s="23" t="s">
        <v>57</v>
      </c>
      <c r="C19" s="23" t="s">
        <v>62</v>
      </c>
      <c r="D19" s="23" t="s">
        <v>63</v>
      </c>
      <c r="E19" s="25"/>
      <c r="F19" s="25" t="s">
        <v>51</v>
      </c>
    </row>
    <row r="20" spans="1:6" ht="25" x14ac:dyDescent="0.35">
      <c r="A20" s="23">
        <v>8</v>
      </c>
      <c r="B20" s="23" t="s">
        <v>64</v>
      </c>
      <c r="C20" s="23" t="s">
        <v>65</v>
      </c>
      <c r="D20" s="23" t="s">
        <v>66</v>
      </c>
      <c r="E20" s="25"/>
      <c r="F20" s="25" t="s">
        <v>51</v>
      </c>
    </row>
    <row r="21" spans="1:6" ht="25" x14ac:dyDescent="0.35">
      <c r="A21" s="23">
        <v>9</v>
      </c>
      <c r="B21" s="23" t="s">
        <v>8</v>
      </c>
      <c r="C21" s="23" t="s">
        <v>67</v>
      </c>
      <c r="D21" s="23" t="s">
        <v>68</v>
      </c>
      <c r="E21" s="25"/>
      <c r="F21" s="25" t="s">
        <v>51</v>
      </c>
    </row>
    <row r="22" spans="1:6" ht="25" x14ac:dyDescent="0.35">
      <c r="A22" s="23">
        <v>10</v>
      </c>
      <c r="B22" s="23" t="s">
        <v>8</v>
      </c>
      <c r="C22" s="23" t="s">
        <v>69</v>
      </c>
      <c r="D22" s="23" t="s">
        <v>70</v>
      </c>
      <c r="E22" s="25"/>
      <c r="F22" s="25" t="s">
        <v>51</v>
      </c>
    </row>
    <row r="23" spans="1:6" x14ac:dyDescent="0.35">
      <c r="A23" s="23">
        <v>11</v>
      </c>
      <c r="B23" s="23" t="s">
        <v>8</v>
      </c>
      <c r="C23" s="23" t="s">
        <v>71</v>
      </c>
      <c r="D23" s="23" t="s">
        <v>72</v>
      </c>
      <c r="E23" s="25"/>
      <c r="F23" s="25" t="s">
        <v>51</v>
      </c>
    </row>
    <row r="24" spans="1:6" x14ac:dyDescent="0.35">
      <c r="A24" s="23">
        <v>12</v>
      </c>
      <c r="B24" s="23" t="s">
        <v>8</v>
      </c>
      <c r="C24" s="23" t="s">
        <v>73</v>
      </c>
      <c r="D24" s="23"/>
      <c r="E24" s="25"/>
      <c r="F24" s="25" t="s">
        <v>51</v>
      </c>
    </row>
    <row r="25" spans="1:6" x14ac:dyDescent="0.35">
      <c r="A25" s="23">
        <v>13</v>
      </c>
      <c r="B25" s="23" t="s">
        <v>16</v>
      </c>
      <c r="C25" s="23" t="s">
        <v>74</v>
      </c>
      <c r="D25" s="23" t="s">
        <v>75</v>
      </c>
      <c r="E25" s="25"/>
      <c r="F25" s="25" t="s">
        <v>51</v>
      </c>
    </row>
    <row r="26" spans="1:6" ht="25" x14ac:dyDescent="0.35">
      <c r="A26" s="23">
        <v>14</v>
      </c>
      <c r="B26" s="23" t="s">
        <v>16</v>
      </c>
      <c r="C26" s="23" t="s">
        <v>76</v>
      </c>
      <c r="D26" s="23" t="s">
        <v>77</v>
      </c>
      <c r="E26" s="25"/>
      <c r="F26" s="25" t="s">
        <v>51</v>
      </c>
    </row>
    <row r="27" spans="1:6" x14ac:dyDescent="0.35">
      <c r="A27" s="23">
        <v>15</v>
      </c>
      <c r="B27" s="23" t="s">
        <v>78</v>
      </c>
      <c r="C27" s="23" t="s">
        <v>79</v>
      </c>
      <c r="D27" s="23" t="s">
        <v>80</v>
      </c>
      <c r="E27" s="25"/>
      <c r="F27" s="25" t="s">
        <v>51</v>
      </c>
    </row>
    <row r="28" spans="1:6" x14ac:dyDescent="0.35">
      <c r="A28" s="20" t="s">
        <v>81</v>
      </c>
      <c r="B28" s="21"/>
      <c r="C28" s="21"/>
      <c r="D28" s="21"/>
      <c r="E28" s="21"/>
      <c r="F28" s="21"/>
    </row>
    <row r="29" spans="1:6" ht="37.5" x14ac:dyDescent="0.35">
      <c r="A29" s="23" t="s">
        <v>82</v>
      </c>
      <c r="B29" s="23" t="s">
        <v>83</v>
      </c>
      <c r="C29" s="23" t="s">
        <v>84</v>
      </c>
      <c r="D29" s="23"/>
      <c r="E29" s="23"/>
      <c r="F29" s="23"/>
    </row>
    <row r="30" spans="1:6" ht="62.5" x14ac:dyDescent="0.35">
      <c r="A30" s="23" t="s">
        <v>82</v>
      </c>
      <c r="B30" s="23" t="s">
        <v>85</v>
      </c>
      <c r="C30" s="23"/>
      <c r="D30" s="23"/>
      <c r="E30" s="23"/>
      <c r="F30" s="23"/>
    </row>
    <row r="31" spans="1:6" ht="37.5" x14ac:dyDescent="0.35">
      <c r="A31" s="23" t="s">
        <v>82</v>
      </c>
      <c r="B31" s="23" t="s">
        <v>86</v>
      </c>
      <c r="C31" s="23" t="s">
        <v>87</v>
      </c>
      <c r="D31" s="23"/>
      <c r="E31" s="23"/>
      <c r="F31" s="23"/>
    </row>
  </sheetData>
  <pageMargins left="0.75" right="0.75" top="1" bottom="1" header="0.5" footer="0.5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6"/>
  <sheetViews>
    <sheetView topLeftCell="D1" zoomScaleNormal="100" workbookViewId="0">
      <pane ySplit="4" topLeftCell="A5" activePane="bottomLeft" state="frozen"/>
      <selection pane="bottomLeft" activeCell="I5" sqref="I5"/>
    </sheetView>
  </sheetViews>
  <sheetFormatPr defaultColWidth="8.6328125" defaultRowHeight="14.5" x14ac:dyDescent="0.35"/>
  <cols>
    <col min="1" max="1" width="5" customWidth="1"/>
    <col min="2" max="2" width="10" customWidth="1"/>
    <col min="3" max="3" width="18" customWidth="1"/>
    <col min="4" max="4" width="52" customWidth="1"/>
    <col min="5" max="5" width="46" customWidth="1"/>
    <col min="6" max="6" width="14" customWidth="1"/>
    <col min="7" max="7" width="58" customWidth="1"/>
    <col min="8" max="8" width="12" customWidth="1"/>
    <col min="9" max="9" width="16.6328125" customWidth="1"/>
  </cols>
  <sheetData>
    <row r="1" spans="1:9" ht="18" customHeight="1" x14ac:dyDescent="0.4">
      <c r="A1" s="1" t="s">
        <v>88</v>
      </c>
    </row>
    <row r="2" spans="1:9" x14ac:dyDescent="0.35">
      <c r="A2" s="2" t="s">
        <v>89</v>
      </c>
    </row>
    <row r="4" spans="1:9" ht="52" customHeight="1" x14ac:dyDescent="0.35">
      <c r="A4" s="7" t="s">
        <v>2</v>
      </c>
      <c r="B4" s="7" t="s">
        <v>90</v>
      </c>
      <c r="C4" s="7" t="s">
        <v>3</v>
      </c>
      <c r="D4" s="7" t="s">
        <v>91</v>
      </c>
      <c r="E4" s="7" t="s">
        <v>92</v>
      </c>
      <c r="F4" s="7" t="s">
        <v>43</v>
      </c>
      <c r="G4" s="7" t="s">
        <v>93</v>
      </c>
      <c r="H4" s="7" t="s">
        <v>47</v>
      </c>
      <c r="I4" s="17" t="s">
        <v>94</v>
      </c>
    </row>
    <row r="5" spans="1:9" ht="112.5" customHeight="1" x14ac:dyDescent="0.35">
      <c r="A5" s="8">
        <v>1</v>
      </c>
      <c r="B5" s="8" t="s">
        <v>95</v>
      </c>
      <c r="C5" s="8" t="s">
        <v>96</v>
      </c>
      <c r="D5" s="8" t="s">
        <v>97</v>
      </c>
      <c r="E5" s="8" t="s">
        <v>98</v>
      </c>
      <c r="F5" s="8" t="s">
        <v>99</v>
      </c>
      <c r="G5" s="9" t="s">
        <v>100</v>
      </c>
      <c r="H5" s="9" t="s">
        <v>101</v>
      </c>
      <c r="I5" s="14" t="s">
        <v>102</v>
      </c>
    </row>
    <row r="6" spans="1:9" ht="200" customHeight="1" x14ac:dyDescent="0.35">
      <c r="A6" s="8">
        <v>2</v>
      </c>
      <c r="B6" s="8" t="s">
        <v>95</v>
      </c>
      <c r="C6" s="8" t="s">
        <v>103</v>
      </c>
      <c r="D6" s="8" t="s">
        <v>104</v>
      </c>
      <c r="E6" s="8" t="s">
        <v>105</v>
      </c>
      <c r="F6" s="8" t="s">
        <v>99</v>
      </c>
      <c r="G6" s="9" t="s">
        <v>106</v>
      </c>
      <c r="H6" s="9" t="s">
        <v>101</v>
      </c>
      <c r="I6" s="14" t="s">
        <v>107</v>
      </c>
    </row>
    <row r="7" spans="1:9" ht="37.5" customHeight="1" x14ac:dyDescent="0.35">
      <c r="A7" s="8">
        <v>3</v>
      </c>
      <c r="B7" s="8" t="s">
        <v>95</v>
      </c>
      <c r="C7" s="8" t="s">
        <v>108</v>
      </c>
      <c r="D7" s="8" t="s">
        <v>109</v>
      </c>
      <c r="E7" s="8" t="s">
        <v>110</v>
      </c>
      <c r="F7" s="8" t="s">
        <v>99</v>
      </c>
      <c r="G7" s="9"/>
      <c r="H7" s="9" t="s">
        <v>51</v>
      </c>
    </row>
    <row r="8" spans="1:9" ht="37.5" customHeight="1" x14ac:dyDescent="0.35">
      <c r="A8" s="8">
        <v>4</v>
      </c>
      <c r="B8" s="8" t="s">
        <v>95</v>
      </c>
      <c r="C8" s="8" t="s">
        <v>111</v>
      </c>
      <c r="D8" s="8" t="s">
        <v>112</v>
      </c>
      <c r="E8" s="8" t="s">
        <v>113</v>
      </c>
      <c r="F8" s="8" t="s">
        <v>114</v>
      </c>
      <c r="G8" s="9"/>
      <c r="H8" s="9" t="s">
        <v>51</v>
      </c>
    </row>
    <row r="9" spans="1:9" ht="212.5" customHeight="1" x14ac:dyDescent="0.35">
      <c r="A9" s="8">
        <v>5</v>
      </c>
      <c r="B9" s="8" t="s">
        <v>95</v>
      </c>
      <c r="C9" s="8" t="s">
        <v>115</v>
      </c>
      <c r="D9" s="8" t="s">
        <v>116</v>
      </c>
      <c r="E9" s="8" t="s">
        <v>117</v>
      </c>
      <c r="F9" s="8" t="s">
        <v>99</v>
      </c>
      <c r="G9" s="9"/>
      <c r="H9" s="9" t="s">
        <v>51</v>
      </c>
      <c r="I9" s="14" t="s">
        <v>118</v>
      </c>
    </row>
    <row r="10" spans="1:9" ht="75" customHeight="1" x14ac:dyDescent="0.35">
      <c r="A10" s="10">
        <v>6</v>
      </c>
      <c r="B10" s="11" t="s">
        <v>119</v>
      </c>
      <c r="C10" s="10" t="s">
        <v>120</v>
      </c>
      <c r="D10" s="10" t="s">
        <v>121</v>
      </c>
      <c r="E10" s="10" t="s">
        <v>122</v>
      </c>
      <c r="F10" s="10" t="s">
        <v>99</v>
      </c>
      <c r="G10" s="9" t="s">
        <v>123</v>
      </c>
      <c r="H10" s="9" t="s">
        <v>101</v>
      </c>
      <c r="I10" s="15" t="s">
        <v>124</v>
      </c>
    </row>
    <row r="11" spans="1:9" ht="75" customHeight="1" x14ac:dyDescent="0.35">
      <c r="A11" s="10">
        <v>7</v>
      </c>
      <c r="B11" s="11" t="s">
        <v>119</v>
      </c>
      <c r="C11" s="10" t="s">
        <v>125</v>
      </c>
      <c r="D11" s="10" t="s">
        <v>126</v>
      </c>
      <c r="E11" s="10" t="s">
        <v>127</v>
      </c>
      <c r="F11" s="10" t="s">
        <v>99</v>
      </c>
      <c r="G11" s="9" t="s">
        <v>128</v>
      </c>
      <c r="H11" s="9" t="s">
        <v>101</v>
      </c>
      <c r="I11" s="15" t="s">
        <v>124</v>
      </c>
    </row>
    <row r="12" spans="1:9" ht="25" customHeight="1" x14ac:dyDescent="0.35">
      <c r="A12" s="10">
        <v>8</v>
      </c>
      <c r="B12" s="11" t="s">
        <v>119</v>
      </c>
      <c r="C12" s="10" t="s">
        <v>125</v>
      </c>
      <c r="D12" s="10" t="s">
        <v>129</v>
      </c>
      <c r="E12" s="10" t="s">
        <v>130</v>
      </c>
      <c r="F12" s="10" t="s">
        <v>131</v>
      </c>
      <c r="G12" s="9"/>
      <c r="H12" s="9" t="s">
        <v>51</v>
      </c>
    </row>
    <row r="13" spans="1:9" ht="25" customHeight="1" x14ac:dyDescent="0.35">
      <c r="A13" s="10">
        <v>9</v>
      </c>
      <c r="B13" s="11" t="s">
        <v>119</v>
      </c>
      <c r="C13" s="10" t="s">
        <v>125</v>
      </c>
      <c r="D13" s="10" t="s">
        <v>132</v>
      </c>
      <c r="E13" s="10"/>
      <c r="F13" s="10" t="s">
        <v>99</v>
      </c>
      <c r="G13" s="9"/>
      <c r="H13" s="9" t="s">
        <v>51</v>
      </c>
    </row>
    <row r="14" spans="1:9" ht="25" customHeight="1" x14ac:dyDescent="0.35">
      <c r="A14" s="10">
        <v>10</v>
      </c>
      <c r="B14" s="11" t="s">
        <v>119</v>
      </c>
      <c r="C14" s="10" t="s">
        <v>133</v>
      </c>
      <c r="D14" s="10" t="s">
        <v>134</v>
      </c>
      <c r="E14" s="10" t="s">
        <v>135</v>
      </c>
      <c r="F14" s="10" t="s">
        <v>99</v>
      </c>
      <c r="G14" s="9"/>
      <c r="H14" s="9" t="s">
        <v>51</v>
      </c>
    </row>
    <row r="15" spans="1:9" ht="25" customHeight="1" x14ac:dyDescent="0.35">
      <c r="A15" s="10">
        <v>11</v>
      </c>
      <c r="B15" s="11" t="s">
        <v>119</v>
      </c>
      <c r="C15" s="10" t="s">
        <v>133</v>
      </c>
      <c r="D15" s="10" t="s">
        <v>136</v>
      </c>
      <c r="E15" s="10" t="s">
        <v>137</v>
      </c>
      <c r="F15" s="10" t="s">
        <v>99</v>
      </c>
      <c r="G15" s="9"/>
      <c r="H15" s="9" t="s">
        <v>51</v>
      </c>
    </row>
    <row r="16" spans="1:9" ht="25" customHeight="1" x14ac:dyDescent="0.35">
      <c r="A16" s="10">
        <v>12</v>
      </c>
      <c r="B16" s="11" t="s">
        <v>119</v>
      </c>
      <c r="C16" s="10" t="s">
        <v>138</v>
      </c>
      <c r="D16" s="10" t="s">
        <v>139</v>
      </c>
      <c r="E16" s="10" t="s">
        <v>140</v>
      </c>
      <c r="F16" s="10" t="s">
        <v>99</v>
      </c>
      <c r="G16" s="9"/>
      <c r="H16" s="9" t="s">
        <v>51</v>
      </c>
    </row>
    <row r="17" spans="1:8" x14ac:dyDescent="0.35">
      <c r="A17" s="10">
        <v>13</v>
      </c>
      <c r="B17" s="11" t="s">
        <v>119</v>
      </c>
      <c r="C17" s="10" t="s">
        <v>141</v>
      </c>
      <c r="D17" s="10" t="s">
        <v>142</v>
      </c>
      <c r="E17" s="10" t="s">
        <v>143</v>
      </c>
      <c r="F17" s="10" t="s">
        <v>99</v>
      </c>
      <c r="G17" s="9"/>
      <c r="H17" s="9" t="s">
        <v>51</v>
      </c>
    </row>
    <row r="18" spans="1:8" ht="25" customHeight="1" x14ac:dyDescent="0.35">
      <c r="A18" s="10">
        <v>14</v>
      </c>
      <c r="B18" s="11" t="s">
        <v>119</v>
      </c>
      <c r="C18" s="10" t="s">
        <v>144</v>
      </c>
      <c r="D18" s="10" t="s">
        <v>145</v>
      </c>
      <c r="E18" s="10" t="s">
        <v>146</v>
      </c>
      <c r="F18" s="10" t="s">
        <v>147</v>
      </c>
      <c r="G18" s="9"/>
      <c r="H18" s="9" t="s">
        <v>101</v>
      </c>
    </row>
    <row r="19" spans="1:8" x14ac:dyDescent="0.35">
      <c r="A19" s="10">
        <v>15</v>
      </c>
      <c r="B19" s="10" t="s">
        <v>148</v>
      </c>
      <c r="C19" s="10" t="s">
        <v>149</v>
      </c>
      <c r="D19" s="10" t="s">
        <v>150</v>
      </c>
      <c r="E19" s="10"/>
      <c r="F19" s="10" t="s">
        <v>151</v>
      </c>
      <c r="G19" s="9"/>
      <c r="H19" s="9" t="s">
        <v>51</v>
      </c>
    </row>
    <row r="20" spans="1:8" ht="25" customHeight="1" x14ac:dyDescent="0.35">
      <c r="A20" s="10">
        <v>16</v>
      </c>
      <c r="B20" s="10" t="s">
        <v>119</v>
      </c>
      <c r="C20" s="10" t="s">
        <v>152</v>
      </c>
      <c r="D20" s="10" t="s">
        <v>153</v>
      </c>
      <c r="E20" s="10"/>
      <c r="F20" s="10" t="s">
        <v>99</v>
      </c>
      <c r="G20" s="9"/>
      <c r="H20" s="9" t="s">
        <v>51</v>
      </c>
    </row>
    <row r="21" spans="1:8" x14ac:dyDescent="0.35">
      <c r="A21" s="10">
        <v>17</v>
      </c>
      <c r="B21" s="10" t="s">
        <v>148</v>
      </c>
      <c r="C21" s="10" t="s">
        <v>152</v>
      </c>
      <c r="D21" s="10" t="s">
        <v>154</v>
      </c>
      <c r="E21" s="10"/>
      <c r="F21" s="10" t="s">
        <v>99</v>
      </c>
      <c r="G21" s="9"/>
      <c r="H21" s="9" t="s">
        <v>51</v>
      </c>
    </row>
    <row r="22" spans="1:8" ht="25" customHeight="1" x14ac:dyDescent="0.35">
      <c r="A22" s="10">
        <v>18</v>
      </c>
      <c r="B22" s="10" t="s">
        <v>148</v>
      </c>
      <c r="C22" s="10" t="s">
        <v>96</v>
      </c>
      <c r="D22" s="10" t="s">
        <v>155</v>
      </c>
      <c r="E22" s="10"/>
      <c r="F22" s="10" t="s">
        <v>99</v>
      </c>
      <c r="G22" s="9"/>
      <c r="H22" s="9" t="s">
        <v>51</v>
      </c>
    </row>
    <row r="23" spans="1:8" ht="37.5" customHeight="1" x14ac:dyDescent="0.35">
      <c r="A23" s="10">
        <v>19</v>
      </c>
      <c r="B23" s="10" t="s">
        <v>148</v>
      </c>
      <c r="C23" s="10" t="s">
        <v>120</v>
      </c>
      <c r="D23" s="10" t="s">
        <v>156</v>
      </c>
      <c r="E23" s="10" t="s">
        <v>157</v>
      </c>
      <c r="F23" s="10" t="s">
        <v>158</v>
      </c>
      <c r="G23" s="9" t="s">
        <v>159</v>
      </c>
      <c r="H23" s="9" t="s">
        <v>101</v>
      </c>
    </row>
    <row r="24" spans="1:8" ht="37.5" customHeight="1" x14ac:dyDescent="0.35">
      <c r="A24" s="12">
        <v>20</v>
      </c>
      <c r="B24" s="12" t="s">
        <v>95</v>
      </c>
      <c r="C24" s="12" t="s">
        <v>138</v>
      </c>
      <c r="D24" s="12" t="s">
        <v>160</v>
      </c>
      <c r="E24" s="12"/>
      <c r="F24" s="12" t="s">
        <v>131</v>
      </c>
      <c r="G24" s="12" t="s">
        <v>161</v>
      </c>
      <c r="H24" s="12" t="s">
        <v>27</v>
      </c>
    </row>
    <row r="25" spans="1:8" ht="50" customHeight="1" x14ac:dyDescent="0.35">
      <c r="A25" s="12">
        <v>21</v>
      </c>
      <c r="B25" s="12" t="s">
        <v>95</v>
      </c>
      <c r="C25" s="12" t="s">
        <v>162</v>
      </c>
      <c r="D25" s="12" t="s">
        <v>163</v>
      </c>
      <c r="E25" s="12"/>
      <c r="F25" s="12" t="s">
        <v>99</v>
      </c>
      <c r="G25" s="12" t="s">
        <v>164</v>
      </c>
      <c r="H25" s="12" t="s">
        <v>27</v>
      </c>
    </row>
    <row r="26" spans="1:8" ht="62.5" customHeight="1" x14ac:dyDescent="0.35">
      <c r="A26" s="12">
        <v>22</v>
      </c>
      <c r="B26" s="12" t="s">
        <v>95</v>
      </c>
      <c r="C26" s="12" t="s">
        <v>165</v>
      </c>
      <c r="D26" s="12" t="s">
        <v>166</v>
      </c>
      <c r="E26" s="12"/>
      <c r="F26" s="12" t="s">
        <v>99</v>
      </c>
      <c r="G26" s="12" t="s">
        <v>167</v>
      </c>
      <c r="H26" s="12" t="s">
        <v>27</v>
      </c>
    </row>
    <row r="27" spans="1:8" ht="37.5" customHeight="1" x14ac:dyDescent="0.35">
      <c r="A27" s="12">
        <v>23</v>
      </c>
      <c r="B27" s="12" t="s">
        <v>95</v>
      </c>
      <c r="C27" s="12" t="s">
        <v>168</v>
      </c>
      <c r="D27" s="12" t="s">
        <v>169</v>
      </c>
      <c r="E27" s="12"/>
      <c r="F27" s="12" t="s">
        <v>99</v>
      </c>
      <c r="G27" s="12" t="s">
        <v>170</v>
      </c>
      <c r="H27" s="12" t="s">
        <v>27</v>
      </c>
    </row>
    <row r="28" spans="1:8" ht="62.5" customHeight="1" x14ac:dyDescent="0.35">
      <c r="A28" s="12">
        <v>24</v>
      </c>
      <c r="B28" s="12" t="s">
        <v>119</v>
      </c>
      <c r="C28" s="12" t="s">
        <v>141</v>
      </c>
      <c r="D28" s="12" t="s">
        <v>171</v>
      </c>
      <c r="E28" s="12"/>
      <c r="F28" s="12" t="s">
        <v>99</v>
      </c>
      <c r="G28" s="12" t="s">
        <v>172</v>
      </c>
      <c r="H28" s="12" t="s">
        <v>27</v>
      </c>
    </row>
    <row r="29" spans="1:8" ht="37.5" customHeight="1" x14ac:dyDescent="0.35">
      <c r="A29" s="12">
        <v>25</v>
      </c>
      <c r="B29" s="12" t="s">
        <v>119</v>
      </c>
      <c r="C29" s="12" t="s">
        <v>173</v>
      </c>
      <c r="D29" s="12" t="s">
        <v>174</v>
      </c>
      <c r="E29" s="12"/>
      <c r="F29" s="12" t="s">
        <v>99</v>
      </c>
      <c r="G29" s="12" t="s">
        <v>175</v>
      </c>
      <c r="H29" s="12" t="s">
        <v>27</v>
      </c>
    </row>
    <row r="30" spans="1:8" ht="25" customHeight="1" x14ac:dyDescent="0.35">
      <c r="A30" s="12">
        <v>26</v>
      </c>
      <c r="B30" s="12" t="s">
        <v>119</v>
      </c>
      <c r="C30" s="12" t="s">
        <v>176</v>
      </c>
      <c r="D30" s="12" t="s">
        <v>177</v>
      </c>
      <c r="E30" s="12"/>
      <c r="F30" s="12" t="s">
        <v>99</v>
      </c>
      <c r="G30" s="12" t="s">
        <v>178</v>
      </c>
      <c r="H30" s="12" t="s">
        <v>27</v>
      </c>
    </row>
    <row r="31" spans="1:8" ht="25" customHeight="1" x14ac:dyDescent="0.35">
      <c r="A31" s="12">
        <v>27</v>
      </c>
      <c r="B31" s="12" t="s">
        <v>119</v>
      </c>
      <c r="C31" s="12" t="s">
        <v>125</v>
      </c>
      <c r="D31" s="12" t="s">
        <v>179</v>
      </c>
      <c r="E31" s="12"/>
      <c r="F31" s="12" t="s">
        <v>99</v>
      </c>
      <c r="G31" s="12" t="s">
        <v>180</v>
      </c>
      <c r="H31" s="12" t="s">
        <v>27</v>
      </c>
    </row>
    <row r="32" spans="1:8" ht="37.5" customHeight="1" x14ac:dyDescent="0.35">
      <c r="A32" s="12">
        <v>28</v>
      </c>
      <c r="B32" s="12" t="s">
        <v>119</v>
      </c>
      <c r="C32" s="12" t="s">
        <v>141</v>
      </c>
      <c r="D32" s="12" t="s">
        <v>181</v>
      </c>
      <c r="E32" s="12"/>
      <c r="F32" s="12" t="s">
        <v>99</v>
      </c>
      <c r="G32" s="12" t="s">
        <v>182</v>
      </c>
      <c r="H32" s="12" t="s">
        <v>27</v>
      </c>
    </row>
    <row r="33" spans="1:8" ht="25" customHeight="1" x14ac:dyDescent="0.35">
      <c r="A33" s="12">
        <v>29</v>
      </c>
      <c r="B33" s="12" t="s">
        <v>119</v>
      </c>
      <c r="C33" s="12" t="s">
        <v>149</v>
      </c>
      <c r="D33" s="12" t="s">
        <v>183</v>
      </c>
      <c r="E33" s="12"/>
      <c r="F33" s="12" t="s">
        <v>99</v>
      </c>
      <c r="G33" s="12" t="s">
        <v>184</v>
      </c>
      <c r="H33" s="12" t="s">
        <v>27</v>
      </c>
    </row>
    <row r="34" spans="1:8" ht="25" customHeight="1" x14ac:dyDescent="0.35">
      <c r="A34" s="12">
        <v>30</v>
      </c>
      <c r="B34" s="12" t="s">
        <v>148</v>
      </c>
      <c r="C34" s="12" t="s">
        <v>152</v>
      </c>
      <c r="D34" s="12" t="s">
        <v>185</v>
      </c>
      <c r="E34" s="12"/>
      <c r="F34" s="12" t="s">
        <v>114</v>
      </c>
      <c r="G34" s="12" t="s">
        <v>186</v>
      </c>
      <c r="H34" s="12" t="s">
        <v>27</v>
      </c>
    </row>
    <row r="35" spans="1:8" ht="25" customHeight="1" x14ac:dyDescent="0.35">
      <c r="A35" s="12">
        <v>31</v>
      </c>
      <c r="B35" s="12" t="s">
        <v>148</v>
      </c>
      <c r="C35" s="12" t="s">
        <v>187</v>
      </c>
      <c r="D35" s="12" t="s">
        <v>188</v>
      </c>
      <c r="E35" s="12"/>
      <c r="F35" s="12" t="s">
        <v>99</v>
      </c>
      <c r="G35" s="12" t="s">
        <v>189</v>
      </c>
      <c r="H35" s="12" t="s">
        <v>27</v>
      </c>
    </row>
    <row r="36" spans="1:8" ht="25" customHeight="1" x14ac:dyDescent="0.35">
      <c r="A36" s="12">
        <v>32</v>
      </c>
      <c r="B36" s="12" t="s">
        <v>148</v>
      </c>
      <c r="C36" s="12" t="s">
        <v>190</v>
      </c>
      <c r="D36" s="12" t="s">
        <v>191</v>
      </c>
      <c r="E36" s="12"/>
      <c r="F36" s="12" t="s">
        <v>99</v>
      </c>
      <c r="G36" s="12" t="s">
        <v>192</v>
      </c>
      <c r="H36" s="12" t="s">
        <v>27</v>
      </c>
    </row>
  </sheetData>
  <autoFilter ref="A4:H36" xr:uid="{00000000-0009-0000-0000-000002000000}"/>
  <dataValidations count="1">
    <dataValidation type="list" allowBlank="1" sqref="H5:H36" xr:uid="{00000000-0002-0000-0200-000000000000}">
      <formula1>"Open,Follow-up,Answered"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zoomScaleNormal="100" workbookViewId="0">
      <pane ySplit="4" topLeftCell="A5" activePane="bottomLeft" state="frozen"/>
      <selection pane="bottomLeft" activeCell="F9" sqref="F9"/>
    </sheetView>
  </sheetViews>
  <sheetFormatPr defaultColWidth="8.6328125" defaultRowHeight="14.5" x14ac:dyDescent="0.35"/>
  <cols>
    <col min="1" max="1" width="5" customWidth="1"/>
    <col min="2" max="2" width="24" customWidth="1"/>
    <col min="3" max="3" width="84" customWidth="1"/>
    <col min="4" max="4" width="14" customWidth="1"/>
    <col min="5" max="5" width="12" customWidth="1"/>
    <col min="6" max="6" width="22.1796875" customWidth="1"/>
  </cols>
  <sheetData>
    <row r="1" spans="1:7" ht="18" customHeight="1" x14ac:dyDescent="0.4">
      <c r="A1" s="1" t="s">
        <v>193</v>
      </c>
    </row>
    <row r="2" spans="1:7" x14ac:dyDescent="0.35">
      <c r="A2" s="2" t="s">
        <v>194</v>
      </c>
    </row>
    <row r="4" spans="1:7" ht="26" customHeight="1" x14ac:dyDescent="0.35">
      <c r="A4" s="7" t="s">
        <v>2</v>
      </c>
      <c r="B4" s="7" t="s">
        <v>43</v>
      </c>
      <c r="C4" s="7" t="s">
        <v>44</v>
      </c>
      <c r="D4" s="7" t="s">
        <v>195</v>
      </c>
      <c r="E4" s="7" t="s">
        <v>47</v>
      </c>
      <c r="F4" s="17" t="s">
        <v>196</v>
      </c>
      <c r="G4" s="17" t="s">
        <v>197</v>
      </c>
    </row>
    <row r="5" spans="1:7" x14ac:dyDescent="0.35">
      <c r="A5" s="4">
        <v>1</v>
      </c>
      <c r="B5" s="4" t="s">
        <v>198</v>
      </c>
      <c r="C5" s="4" t="s">
        <v>199</v>
      </c>
      <c r="D5" s="13"/>
      <c r="E5" s="13" t="s">
        <v>51</v>
      </c>
    </row>
    <row r="6" spans="1:7" x14ac:dyDescent="0.35">
      <c r="A6" s="4">
        <v>2</v>
      </c>
      <c r="B6" s="4" t="s">
        <v>198</v>
      </c>
      <c r="C6" s="4" t="s">
        <v>200</v>
      </c>
      <c r="D6" s="13"/>
      <c r="E6" s="13" t="s">
        <v>51</v>
      </c>
    </row>
    <row r="7" spans="1:7" x14ac:dyDescent="0.35">
      <c r="A7" s="4">
        <v>3</v>
      </c>
      <c r="B7" s="4" t="s">
        <v>201</v>
      </c>
      <c r="C7" s="4" t="s">
        <v>202</v>
      </c>
      <c r="D7" s="13"/>
      <c r="E7" s="13" t="s">
        <v>51</v>
      </c>
    </row>
    <row r="8" spans="1:7" ht="137.5" customHeight="1" x14ac:dyDescent="0.35">
      <c r="A8" s="4">
        <v>4</v>
      </c>
      <c r="B8" s="4" t="s">
        <v>201</v>
      </c>
      <c r="C8" s="4" t="s">
        <v>203</v>
      </c>
      <c r="D8" s="13"/>
      <c r="E8" s="13" t="s">
        <v>51</v>
      </c>
      <c r="F8" s="16" t="s">
        <v>204</v>
      </c>
    </row>
    <row r="9" spans="1:7" ht="25" customHeight="1" x14ac:dyDescent="0.35">
      <c r="A9" s="4">
        <v>5</v>
      </c>
      <c r="B9" s="4" t="s">
        <v>205</v>
      </c>
      <c r="C9" s="4" t="s">
        <v>206</v>
      </c>
      <c r="D9" s="13"/>
      <c r="E9" s="13" t="s">
        <v>51</v>
      </c>
    </row>
    <row r="10" spans="1:7" ht="25" customHeight="1" x14ac:dyDescent="0.35">
      <c r="A10" s="4">
        <v>6</v>
      </c>
      <c r="B10" s="4" t="s">
        <v>201</v>
      </c>
      <c r="C10" s="4" t="s">
        <v>207</v>
      </c>
      <c r="D10" s="13"/>
      <c r="E10" s="13" t="s">
        <v>51</v>
      </c>
      <c r="F10" s="16" t="s">
        <v>208</v>
      </c>
    </row>
    <row r="11" spans="1:7" x14ac:dyDescent="0.35">
      <c r="A11" s="4">
        <v>7</v>
      </c>
      <c r="B11" s="4" t="s">
        <v>201</v>
      </c>
      <c r="C11" s="4" t="s">
        <v>209</v>
      </c>
      <c r="D11" s="13"/>
      <c r="E11" s="13" t="s">
        <v>51</v>
      </c>
    </row>
    <row r="12" spans="1:7" x14ac:dyDescent="0.35">
      <c r="A12" s="4">
        <v>8</v>
      </c>
      <c r="B12" s="4" t="s">
        <v>201</v>
      </c>
      <c r="C12" s="4" t="s">
        <v>210</v>
      </c>
      <c r="D12" s="13"/>
      <c r="E12" s="13" t="s">
        <v>51</v>
      </c>
    </row>
    <row r="13" spans="1:7" ht="37.5" customHeight="1" x14ac:dyDescent="0.35">
      <c r="A13" s="4">
        <v>9</v>
      </c>
      <c r="B13" s="4" t="s">
        <v>211</v>
      </c>
      <c r="C13" s="4" t="s">
        <v>212</v>
      </c>
      <c r="D13" s="13"/>
      <c r="E13" s="13" t="s">
        <v>51</v>
      </c>
      <c r="F13" s="16" t="s">
        <v>213</v>
      </c>
    </row>
    <row r="14" spans="1:7" x14ac:dyDescent="0.35">
      <c r="A14" s="4">
        <v>10</v>
      </c>
      <c r="B14" s="4" t="s">
        <v>211</v>
      </c>
      <c r="C14" s="4" t="s">
        <v>214</v>
      </c>
      <c r="D14" s="13"/>
      <c r="E14" s="13" t="s">
        <v>51</v>
      </c>
    </row>
    <row r="15" spans="1:7" x14ac:dyDescent="0.35">
      <c r="A15" s="4">
        <v>11</v>
      </c>
      <c r="B15" s="4" t="s">
        <v>211</v>
      </c>
      <c r="C15" s="4" t="s">
        <v>215</v>
      </c>
      <c r="D15" s="13"/>
      <c r="E15" s="13" t="s">
        <v>51</v>
      </c>
    </row>
    <row r="16" spans="1:7" x14ac:dyDescent="0.35">
      <c r="A16" s="4">
        <v>12</v>
      </c>
      <c r="B16" s="4" t="s">
        <v>211</v>
      </c>
      <c r="C16" s="4" t="s">
        <v>216</v>
      </c>
      <c r="D16" s="13"/>
      <c r="E16" s="13" t="s">
        <v>51</v>
      </c>
    </row>
    <row r="17" spans="1:7" x14ac:dyDescent="0.35">
      <c r="A17" s="4">
        <v>13</v>
      </c>
      <c r="B17" s="4" t="s">
        <v>217</v>
      </c>
      <c r="C17" s="4" t="s">
        <v>218</v>
      </c>
      <c r="D17" s="13"/>
      <c r="E17" s="13" t="s">
        <v>51</v>
      </c>
    </row>
    <row r="18" spans="1:7" x14ac:dyDescent="0.35">
      <c r="A18" s="4">
        <v>14</v>
      </c>
      <c r="B18" s="4" t="s">
        <v>211</v>
      </c>
      <c r="C18" s="4" t="s">
        <v>219</v>
      </c>
      <c r="D18" s="13"/>
      <c r="E18" s="13" t="s">
        <v>51</v>
      </c>
    </row>
    <row r="19" spans="1:7" x14ac:dyDescent="0.35">
      <c r="A19" s="4">
        <v>15</v>
      </c>
      <c r="B19" s="4" t="s">
        <v>187</v>
      </c>
      <c r="C19" s="4" t="s">
        <v>220</v>
      </c>
      <c r="D19" s="13"/>
      <c r="E19" s="13" t="s">
        <v>51</v>
      </c>
      <c r="G19" t="s">
        <v>221</v>
      </c>
    </row>
    <row r="20" spans="1:7" x14ac:dyDescent="0.35">
      <c r="A20" s="4">
        <v>16</v>
      </c>
      <c r="B20" s="4" t="s">
        <v>187</v>
      </c>
      <c r="C20" s="4" t="s">
        <v>222</v>
      </c>
      <c r="D20" s="13"/>
      <c r="E20" s="13" t="s">
        <v>51</v>
      </c>
    </row>
    <row r="21" spans="1:7" x14ac:dyDescent="0.35">
      <c r="A21" s="4">
        <v>17</v>
      </c>
      <c r="B21" s="4" t="s">
        <v>201</v>
      </c>
      <c r="C21" s="4" t="s">
        <v>223</v>
      </c>
      <c r="D21" s="13"/>
      <c r="E21" s="13" t="s">
        <v>224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5" customWidth="1"/>
    <col min="2" max="2" width="44" customWidth="1"/>
    <col min="3" max="3" width="52" customWidth="1"/>
    <col min="4" max="4" width="26" customWidth="1"/>
    <col min="5" max="5" width="14" customWidth="1"/>
    <col min="6" max="6" width="12" customWidth="1"/>
  </cols>
  <sheetData>
    <row r="1" spans="1:6" ht="18" customHeight="1" x14ac:dyDescent="0.4">
      <c r="A1" s="1" t="s">
        <v>225</v>
      </c>
    </row>
    <row r="2" spans="1:6" x14ac:dyDescent="0.35">
      <c r="A2" s="2" t="s">
        <v>226</v>
      </c>
    </row>
    <row r="4" spans="1:6" x14ac:dyDescent="0.35">
      <c r="A4" s="7" t="s">
        <v>2</v>
      </c>
      <c r="B4" s="7" t="s">
        <v>227</v>
      </c>
      <c r="C4" s="7" t="s">
        <v>228</v>
      </c>
      <c r="D4" s="7" t="s">
        <v>229</v>
      </c>
      <c r="E4" s="7" t="s">
        <v>230</v>
      </c>
      <c r="F4" s="7" t="s">
        <v>47</v>
      </c>
    </row>
    <row r="5" spans="1:6" x14ac:dyDescent="0.35">
      <c r="A5" s="4">
        <v>1</v>
      </c>
      <c r="B5" s="4" t="s">
        <v>231</v>
      </c>
      <c r="C5" s="4" t="s">
        <v>232</v>
      </c>
      <c r="D5" s="4" t="s">
        <v>198</v>
      </c>
      <c r="E5" s="13"/>
      <c r="F5" s="13" t="s">
        <v>51</v>
      </c>
    </row>
    <row r="6" spans="1:6" x14ac:dyDescent="0.35">
      <c r="A6" s="4">
        <v>2</v>
      </c>
      <c r="B6" s="4" t="s">
        <v>233</v>
      </c>
      <c r="C6" s="4" t="s">
        <v>234</v>
      </c>
      <c r="D6" s="4" t="s">
        <v>235</v>
      </c>
      <c r="E6" s="13"/>
      <c r="F6" s="13" t="s">
        <v>51</v>
      </c>
    </row>
    <row r="7" spans="1:6" x14ac:dyDescent="0.35">
      <c r="A7" s="4">
        <v>3</v>
      </c>
      <c r="B7" s="4" t="s">
        <v>236</v>
      </c>
      <c r="C7" s="4" t="s">
        <v>237</v>
      </c>
      <c r="D7" s="4" t="s">
        <v>238</v>
      </c>
      <c r="E7" s="13"/>
      <c r="F7" s="13" t="s">
        <v>51</v>
      </c>
    </row>
    <row r="8" spans="1:6" x14ac:dyDescent="0.35">
      <c r="A8" s="4">
        <v>4</v>
      </c>
      <c r="B8" s="4" t="s">
        <v>239</v>
      </c>
      <c r="C8" s="4" t="s">
        <v>240</v>
      </c>
      <c r="D8" s="4" t="s">
        <v>99</v>
      </c>
      <c r="E8" s="13"/>
      <c r="F8" s="13" t="s">
        <v>51</v>
      </c>
    </row>
    <row r="9" spans="1:6" x14ac:dyDescent="0.35">
      <c r="A9" s="4">
        <v>5</v>
      </c>
      <c r="B9" s="4" t="s">
        <v>241</v>
      </c>
      <c r="C9" s="4" t="s">
        <v>242</v>
      </c>
      <c r="D9" s="4" t="s">
        <v>99</v>
      </c>
      <c r="E9" s="13"/>
      <c r="F9" s="13" t="s">
        <v>51</v>
      </c>
    </row>
    <row r="10" spans="1:6" x14ac:dyDescent="0.35">
      <c r="A10" s="4">
        <v>6</v>
      </c>
      <c r="B10" s="4" t="s">
        <v>243</v>
      </c>
      <c r="C10" s="4" t="s">
        <v>244</v>
      </c>
      <c r="D10" s="4" t="s">
        <v>99</v>
      </c>
      <c r="E10" s="13"/>
      <c r="F10" s="13" t="s">
        <v>51</v>
      </c>
    </row>
    <row r="11" spans="1:6" x14ac:dyDescent="0.35">
      <c r="A11" s="4">
        <v>7</v>
      </c>
      <c r="B11" s="4" t="s">
        <v>245</v>
      </c>
      <c r="C11" s="4" t="s">
        <v>246</v>
      </c>
      <c r="D11" s="4" t="s">
        <v>99</v>
      </c>
      <c r="E11" s="13"/>
      <c r="F11" s="13" t="s">
        <v>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zoomScaleNormal="100" workbookViewId="0">
      <pane ySplit="4" topLeftCell="A5" activePane="bottomLeft" state="frozen"/>
      <selection pane="bottomLeft" activeCell="C22" sqref="C22"/>
    </sheetView>
  </sheetViews>
  <sheetFormatPr defaultColWidth="8.6328125" defaultRowHeight="14.5" x14ac:dyDescent="0.35"/>
  <cols>
    <col min="1" max="1" width="5" customWidth="1"/>
    <col min="2" max="2" width="16" customWidth="1"/>
    <col min="3" max="3" width="80" customWidth="1"/>
    <col min="4" max="4" width="20" customWidth="1"/>
  </cols>
  <sheetData>
    <row r="1" spans="1:4" ht="18" customHeight="1" x14ac:dyDescent="0.4">
      <c r="A1" s="1" t="s">
        <v>247</v>
      </c>
    </row>
    <row r="2" spans="1:4" x14ac:dyDescent="0.35">
      <c r="A2" s="2" t="s">
        <v>248</v>
      </c>
    </row>
    <row r="4" spans="1:4" ht="26" customHeight="1" x14ac:dyDescent="0.35">
      <c r="A4" s="7" t="s">
        <v>2</v>
      </c>
      <c r="B4" s="7" t="s">
        <v>249</v>
      </c>
      <c r="C4" s="7" t="s">
        <v>250</v>
      </c>
      <c r="D4" s="7" t="s">
        <v>251</v>
      </c>
    </row>
    <row r="5" spans="1:4" x14ac:dyDescent="0.35">
      <c r="A5" s="4">
        <v>1</v>
      </c>
      <c r="B5" s="4" t="s">
        <v>252</v>
      </c>
      <c r="C5" s="4" t="s">
        <v>253</v>
      </c>
      <c r="D5" s="4" t="s">
        <v>254</v>
      </c>
    </row>
    <row r="6" spans="1:4" x14ac:dyDescent="0.35">
      <c r="A6" s="4">
        <v>2</v>
      </c>
      <c r="B6" s="4" t="s">
        <v>255</v>
      </c>
      <c r="C6" s="4" t="s">
        <v>256</v>
      </c>
      <c r="D6" s="4" t="s">
        <v>254</v>
      </c>
    </row>
    <row r="7" spans="1:4" x14ac:dyDescent="0.35">
      <c r="A7" s="4">
        <v>3</v>
      </c>
      <c r="B7" s="4" t="s">
        <v>255</v>
      </c>
      <c r="C7" s="4" t="s">
        <v>257</v>
      </c>
      <c r="D7" s="4" t="s">
        <v>254</v>
      </c>
    </row>
    <row r="8" spans="1:4" x14ac:dyDescent="0.35">
      <c r="A8" s="4">
        <v>4</v>
      </c>
      <c r="B8" s="4" t="s">
        <v>255</v>
      </c>
      <c r="C8" s="4" t="s">
        <v>258</v>
      </c>
      <c r="D8" s="4" t="s">
        <v>254</v>
      </c>
    </row>
    <row r="9" spans="1:4" x14ac:dyDescent="0.35">
      <c r="A9" s="4">
        <v>5</v>
      </c>
      <c r="B9" s="4" t="s">
        <v>259</v>
      </c>
      <c r="C9" s="4" t="s">
        <v>260</v>
      </c>
      <c r="D9" s="4" t="s">
        <v>261</v>
      </c>
    </row>
    <row r="10" spans="1:4" x14ac:dyDescent="0.35">
      <c r="A10" s="4">
        <v>6</v>
      </c>
      <c r="B10" s="4" t="s">
        <v>259</v>
      </c>
      <c r="C10" s="4" t="s">
        <v>262</v>
      </c>
      <c r="D10" s="4" t="s">
        <v>261</v>
      </c>
    </row>
    <row r="11" spans="1:4" x14ac:dyDescent="0.35">
      <c r="A11" s="4">
        <v>7</v>
      </c>
      <c r="B11" s="4" t="s">
        <v>259</v>
      </c>
      <c r="C11" s="4" t="s">
        <v>263</v>
      </c>
      <c r="D11" s="4" t="s">
        <v>264</v>
      </c>
    </row>
    <row r="12" spans="1:4" x14ac:dyDescent="0.35">
      <c r="A12" s="4">
        <v>8</v>
      </c>
      <c r="B12" s="4" t="s">
        <v>259</v>
      </c>
      <c r="C12" s="4" t="s">
        <v>265</v>
      </c>
      <c r="D12" s="4" t="s">
        <v>261</v>
      </c>
    </row>
    <row r="13" spans="1:4" x14ac:dyDescent="0.35">
      <c r="A13" s="4">
        <v>9</v>
      </c>
      <c r="B13" s="4" t="s">
        <v>259</v>
      </c>
      <c r="C13" s="4" t="s">
        <v>266</v>
      </c>
      <c r="D13" s="4" t="s">
        <v>261</v>
      </c>
    </row>
    <row r="14" spans="1:4" x14ac:dyDescent="0.35">
      <c r="A14" s="4">
        <v>10</v>
      </c>
      <c r="B14" s="4" t="s">
        <v>259</v>
      </c>
      <c r="C14" s="4" t="s">
        <v>267</v>
      </c>
      <c r="D14" s="4" t="s">
        <v>264</v>
      </c>
    </row>
    <row r="15" spans="1:4" x14ac:dyDescent="0.35">
      <c r="A15" s="4">
        <v>11</v>
      </c>
      <c r="B15" s="4" t="s">
        <v>268</v>
      </c>
      <c r="C15" s="4" t="s">
        <v>269</v>
      </c>
      <c r="D15" s="4" t="s">
        <v>261</v>
      </c>
    </row>
    <row r="16" spans="1:4" x14ac:dyDescent="0.35">
      <c r="A16" s="4">
        <v>12</v>
      </c>
      <c r="B16" s="4" t="s">
        <v>268</v>
      </c>
      <c r="C16" s="4" t="s">
        <v>270</v>
      </c>
      <c r="D16" s="4" t="s">
        <v>261</v>
      </c>
    </row>
    <row r="17" spans="1:4" x14ac:dyDescent="0.35">
      <c r="A17" s="4">
        <v>13</v>
      </c>
      <c r="B17" s="4" t="s">
        <v>268</v>
      </c>
      <c r="C17" s="4" t="s">
        <v>271</v>
      </c>
      <c r="D17" s="4" t="s">
        <v>261</v>
      </c>
    </row>
    <row r="18" spans="1:4" x14ac:dyDescent="0.35">
      <c r="A18" s="4">
        <v>14</v>
      </c>
      <c r="B18" s="4" t="s">
        <v>272</v>
      </c>
      <c r="C18" s="4" t="s">
        <v>273</v>
      </c>
      <c r="D18" s="4" t="s">
        <v>261</v>
      </c>
    </row>
    <row r="19" spans="1:4" x14ac:dyDescent="0.35">
      <c r="A19" s="4">
        <v>15</v>
      </c>
      <c r="B19" s="4" t="s">
        <v>274</v>
      </c>
      <c r="C19" s="4" t="s">
        <v>275</v>
      </c>
      <c r="D19" s="4" t="s">
        <v>261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zoomScaleNormal="100" workbookViewId="0">
      <pane ySplit="4" topLeftCell="A5" activePane="bottomLeft" state="frozen"/>
      <selection pane="bottomLeft" activeCell="B35" sqref="B35"/>
    </sheetView>
  </sheetViews>
  <sheetFormatPr defaultColWidth="8.6328125" defaultRowHeight="14.5" x14ac:dyDescent="0.35"/>
  <cols>
    <col min="1" max="1" width="5" customWidth="1"/>
    <col min="2" max="2" width="100" customWidth="1"/>
  </cols>
  <sheetData>
    <row r="1" spans="1:2" ht="18" customHeight="1" x14ac:dyDescent="0.4">
      <c r="A1" s="1" t="s">
        <v>276</v>
      </c>
    </row>
    <row r="2" spans="1:2" x14ac:dyDescent="0.35">
      <c r="A2" s="2" t="s">
        <v>277</v>
      </c>
    </row>
    <row r="4" spans="1:2" x14ac:dyDescent="0.35">
      <c r="A4" s="7" t="s">
        <v>2</v>
      </c>
      <c r="B4" s="7" t="s">
        <v>91</v>
      </c>
    </row>
    <row r="5" spans="1:2" x14ac:dyDescent="0.35">
      <c r="A5" s="4">
        <v>1</v>
      </c>
      <c r="B5" s="4" t="s">
        <v>278</v>
      </c>
    </row>
    <row r="6" spans="1:2" x14ac:dyDescent="0.35">
      <c r="A6" s="4">
        <v>2</v>
      </c>
      <c r="B6" s="4" t="s">
        <v>279</v>
      </c>
    </row>
    <row r="7" spans="1:2" x14ac:dyDescent="0.35">
      <c r="A7" s="4">
        <v>3</v>
      </c>
      <c r="B7" s="4" t="s">
        <v>280</v>
      </c>
    </row>
    <row r="8" spans="1:2" x14ac:dyDescent="0.35">
      <c r="A8" s="4">
        <v>4</v>
      </c>
      <c r="B8" s="4" t="s">
        <v>281</v>
      </c>
    </row>
    <row r="9" spans="1:2" x14ac:dyDescent="0.35">
      <c r="A9" s="4">
        <v>5</v>
      </c>
      <c r="B9" s="4" t="s">
        <v>282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Agenda</vt:lpstr>
      <vt:lpstr>Internal Team Call</vt:lpstr>
      <vt:lpstr>Questions</vt:lpstr>
      <vt:lpstr>Next Steps</vt:lpstr>
      <vt:lpstr>Blockers</vt:lpstr>
      <vt:lpstr>Spec Requirements</vt:lpstr>
      <vt:lpstr>Parked (Mapping Call)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Dallas</cp:lastModifiedBy>
  <cp:revision>0</cp:revision>
  <dcterms:created xsi:type="dcterms:W3CDTF">2026-10-21T11:43:59Z</dcterms:created>
  <dcterms:modified xsi:type="dcterms:W3CDTF">2026-10-22T12:18:27Z</dcterms:modified>
  <dc:language>en-US</dc:language>
</cp:coreProperties>
</file>