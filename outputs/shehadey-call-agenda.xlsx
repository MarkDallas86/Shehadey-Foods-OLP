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520" tabRatio="500" firstSheet="0" activeTab="0" autoFilterDateGrouping="1"/>
  </bookViews>
  <sheets>
    <sheet xmlns:r="http://schemas.openxmlformats.org/officeDocument/2006/relationships" name="10-27 Client Meeting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Next Steps" sheetId="4" state="visible" r:id="rId4"/>
    <sheet xmlns:r="http://schemas.openxmlformats.org/officeDocument/2006/relationships" name="Blockers" sheetId="5" state="visible" r:id="rId5"/>
    <sheet xmlns:r="http://schemas.openxmlformats.org/officeDocument/2006/relationships" name="Spec Requirements" sheetId="6" state="visible" r:id="rId6"/>
    <sheet xmlns:r="http://schemas.openxmlformats.org/officeDocument/2006/relationships" name="Parked (Mapping Call)" sheetId="7" state="visible" r:id="rId7"/>
    <sheet xmlns:r="http://schemas.openxmlformats.org/officeDocument/2006/relationships" name="Internal Team Call" sheetId="8" state="visible" r:id="rId8"/>
    <sheet xmlns:r="http://schemas.openxmlformats.org/officeDocument/2006/relationships" name="Internal Call Agenda 10-27" sheetId="9" state="visible" r:id="rId9"/>
  </sheets>
  <definedNames>
    <definedName name="_xlnm._FilterDatabase" localSheetId="2" hidden="1">'Questions'!$A$4:$H$36</definedName>
    <definedName name="_xlnm._FilterDatabase" localSheetId="3" hidden="1">'Next Steps'!$A$14:$G$35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55555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color rgb="FF000000"/>
      <sz val="10"/>
    </font>
    <font>
      <name val="Arial"/>
      <charset val="1"/>
      <color rgb="FF666666"/>
      <sz val="10"/>
    </font>
    <font>
      <name val="Arial"/>
      <b val="1"/>
      <sz val="14"/>
    </font>
    <font>
      <name val="Arial"/>
      <i val="1"/>
      <color rgb="FF555555"/>
      <sz val="9"/>
    </font>
    <font>
      <name val="Arial"/>
      <b val="1"/>
      <sz val="11"/>
    </font>
    <font>
      <name val="Arial"/>
      <color rgb="FF000000"/>
      <sz val="10"/>
    </font>
    <font>
      <name val="Arial"/>
      <b val="1"/>
      <color rgb="FFFFFFFF"/>
      <sz val="10"/>
    </font>
    <font>
      <name val="Arial"/>
      <family val="2"/>
      <color rgb="FF000000"/>
      <sz val="10"/>
    </font>
    <font>
      <name val="Calibri"/>
      <charset val="1"/>
      <family val="2"/>
      <color rgb="FFFF0000"/>
      <sz val="11"/>
    </font>
    <font>
      <name val="Arial"/>
      <family val="2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b val="1"/>
      <sz val="14"/>
    </font>
    <font>
      <name val="Calibri"/>
      <b val="1"/>
      <color rgb="FFFFFFFF"/>
      <sz val="11"/>
    </font>
    <font>
      <name val="Calibri"/>
      <family val="2"/>
      <b val="1"/>
      <color theme="1"/>
      <sz val="11"/>
    </font>
  </fonts>
  <fills count="17">
    <fill>
      <patternFill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CE4E4"/>
        <bgColor rgb="FFEDEDED"/>
      </patternFill>
    </fill>
    <fill>
      <patternFill patternType="solid">
        <fgColor rgb="FFFFFF99"/>
        <bgColor rgb="FFFFF4D6"/>
      </patternFill>
    </fill>
    <fill>
      <patternFill patternType="solid">
        <fgColor rgb="FFFFF4D6"/>
        <bgColor rgb="FFFCE4E4"/>
      </patternFill>
    </fill>
    <fill>
      <patternFill patternType="solid">
        <fgColor rgb="FFEDEDED"/>
        <bgColor rgb="FFFCE4E4"/>
      </patternFill>
    </fill>
    <fill>
      <patternFill patternType="solid">
        <fgColor rgb="FFD9E1F2"/>
      </patternFill>
    </fill>
    <fill>
      <patternFill patternType="solid">
        <fgColor rgb="FF1F3A5F"/>
      </patternFill>
    </fill>
    <fill>
      <patternFill patternType="solid">
        <f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D9E1F2"/>
      </patternFill>
    </fill>
    <fill>
      <patternFill patternType="solid">
        <fgColor rgb="FF1F3A5F"/>
      </patternFill>
    </fill>
    <fill>
      <patternFill patternType="solid">
        <fgColor rgb="FFFFFF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7" borderId="0" pivotButton="0" quotePrefix="0" xfId="0"/>
    <xf numFmtId="0" fontId="0" fillId="7" borderId="0" pivotButton="0" quotePrefix="0" xfId="0"/>
    <xf numFmtId="0" fontId="12" fillId="8" borderId="4" pivotButton="0" quotePrefix="0" xfId="0"/>
    <xf numFmtId="0" fontId="11" fillId="0" borderId="4" applyAlignment="1" pivotButton="0" quotePrefix="0" xfId="0">
      <alignment vertical="top" wrapText="1"/>
    </xf>
    <xf numFmtId="0" fontId="12" fillId="8" borderId="4" applyAlignment="1" pivotButton="0" quotePrefix="0" xfId="0">
      <alignment vertical="top" wrapText="1"/>
    </xf>
    <xf numFmtId="0" fontId="11" fillId="9" borderId="4" applyAlignment="1" pivotButton="0" quotePrefix="0" xfId="0">
      <alignment vertical="top" wrapText="1"/>
    </xf>
    <xf numFmtId="0" fontId="11" fillId="10" borderId="4" applyAlignment="1" pivotButton="0" quotePrefix="0" xfId="0">
      <alignment vertical="top" wrapText="1"/>
    </xf>
    <xf numFmtId="0" fontId="13" fillId="0" borderId="4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0" fillId="12" borderId="0" pivotButton="0" quotePrefix="0" xfId="0"/>
    <xf numFmtId="0" fontId="13" fillId="11" borderId="2" applyAlignment="1" pivotButton="0" quotePrefix="0" xfId="0">
      <alignment vertical="top" wrapText="1"/>
    </xf>
    <xf numFmtId="0" fontId="15" fillId="13" borderId="2" applyAlignment="1" pivotButton="0" quotePrefix="0" xfId="0">
      <alignment vertical="top" wrapText="1"/>
    </xf>
    <xf numFmtId="0" fontId="0" fillId="13" borderId="0" pivotButton="0" quotePrefix="0" xfId="0"/>
    <xf numFmtId="0" fontId="14" fillId="13" borderId="0" pivotButton="0" quotePrefix="0" xfId="0"/>
    <xf numFmtId="0" fontId="15" fillId="0" borderId="1" applyAlignment="1" pivotButton="0" quotePrefix="0" xfId="0">
      <alignment vertical="top" wrapText="1"/>
    </xf>
    <xf numFmtId="0" fontId="10" fillId="14" borderId="0" pivotButton="0" quotePrefix="0" xfId="0"/>
    <xf numFmtId="0" fontId="0" fillId="14" borderId="0" pivotButton="0" quotePrefix="0" xfId="0"/>
    <xf numFmtId="0" fontId="16" fillId="15" borderId="5" applyAlignment="1" pivotButton="0" quotePrefix="0" xfId="0">
      <alignment vertical="top" wrapText="1"/>
    </xf>
    <xf numFmtId="0" fontId="17" fillId="0" borderId="5" applyAlignment="1" pivotButton="0" quotePrefix="0" xfId="0">
      <alignment vertical="top" wrapText="1"/>
    </xf>
    <xf numFmtId="0" fontId="17" fillId="16" borderId="5" applyAlignment="1" pivotButton="0" quotePrefix="0" xfId="0">
      <alignment vertical="top" wrapText="1"/>
    </xf>
    <xf numFmtId="0" fontId="11" fillId="0" borderId="5" applyAlignment="1" pivotButton="0" quotePrefix="0" xfId="0">
      <alignment vertical="top" wrapText="1"/>
    </xf>
    <xf numFmtId="16" fontId="17" fillId="16" borderId="5" applyAlignment="1" pivotButton="0" quotePrefix="0" xfId="0">
      <alignment vertical="top" wrapText="1"/>
    </xf>
    <xf numFmtId="0" fontId="18" fillId="0" borderId="0" pivotButton="0" quotePrefix="0" xfId="0"/>
    <xf numFmtId="0" fontId="19" fillId="15" borderId="6" applyAlignment="1" pivotButton="0" quotePrefix="0" xfId="0">
      <alignment vertical="center" wrapText="1"/>
    </xf>
    <xf numFmtId="0" fontId="0" fillId="0" borderId="6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4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D6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zoomScale="90" zoomScaleNormal="90" workbookViewId="0">
      <pane ySplit="4" topLeftCell="A5" activePane="bottomLeft" state="frozen"/>
      <selection pane="bottomLeft" activeCell="F7" sqref="F7"/>
    </sheetView>
  </sheetViews>
  <sheetFormatPr baseColWidth="8" defaultRowHeight="14.5"/>
  <cols>
    <col width="5" customWidth="1" min="1" max="1"/>
    <col width="12" customWidth="1" min="2" max="2"/>
    <col width="68.81640625" customWidth="1" min="3" max="3"/>
    <col width="16.08984375" customWidth="1" min="4" max="4"/>
    <col width="12" customWidth="1" min="5" max="6"/>
    <col width="66.81640625" customWidth="1" min="7" max="7"/>
    <col width="28.36328125" customWidth="1" min="8" max="8"/>
  </cols>
  <sheetData>
    <row r="1" ht="18.5" customHeight="1">
      <c r="A1" s="42" t="inlineStr">
        <is>
          <t>10/27 Meeting with Shehadey (Client)</t>
        </is>
      </c>
    </row>
    <row r="4" ht="58" customHeight="1">
      <c r="A4" s="43" t="inlineStr">
        <is>
          <t>#</t>
        </is>
      </c>
      <c r="B4" s="43" t="inlineStr">
        <is>
          <t>Topic</t>
        </is>
      </c>
      <c r="C4" s="43" t="inlineStr">
        <is>
          <t>Item</t>
        </is>
      </c>
      <c r="D4" s="43" t="inlineStr">
        <is>
          <t>Owner</t>
        </is>
      </c>
      <c r="E4" s="43" t="inlineStr">
        <is>
          <t>Due date</t>
        </is>
      </c>
      <c r="F4" s="43" t="inlineStr">
        <is>
          <t>Status</t>
        </is>
      </c>
      <c r="G4" s="43" t="inlineStr">
        <is>
          <t>Pre Call Notes</t>
        </is>
      </c>
      <c r="H4" s="43" t="inlineStr">
        <is>
          <t xml:space="preserve">During Call notes </t>
        </is>
      </c>
    </row>
    <row r="5" ht="43.5" customHeight="1">
      <c r="A5" s="44" t="n">
        <v>1</v>
      </c>
      <c r="B5" s="44" t="inlineStr">
        <is>
          <t>Costco</t>
        </is>
      </c>
      <c r="C5" s="44" t="inlineStr">
        <is>
          <t>Costco 10-digit SAP vendor number (e.g., 0010020513 - not the AP or buyer number). Costco uses it to identify SHF, set up VAN routing and open SPS testing.</t>
        </is>
      </c>
      <c r="D5" s="44" t="inlineStr">
        <is>
          <t>Shehadey</t>
        </is>
      </c>
      <c r="E5" s="44" t="n"/>
      <c r="F5" s="44" t="inlineStr">
        <is>
          <t>Open</t>
        </is>
      </c>
      <c r="G5" s="44" t="inlineStr">
        <is>
          <t>Send to Mark. Testing can't start without it.</t>
        </is>
      </c>
      <c r="H5" s="45" t="inlineStr">
        <is>
          <t xml:space="preserve">30255-plant identifier </t>
        </is>
      </c>
    </row>
    <row r="6" ht="29" customHeight="1">
      <c r="A6" s="44" t="n">
        <v>2</v>
      </c>
      <c r="B6" s="44" t="inlineStr">
        <is>
          <t>Costco</t>
        </is>
      </c>
      <c r="C6" s="44" t="inlineStr">
        <is>
          <t xml:space="preserve">Costco 860 PO changes are rare (3 since May). </t>
        </is>
      </c>
      <c r="D6" s="44" t="inlineStr">
        <is>
          <t>Shehadey</t>
        </is>
      </c>
      <c r="E6" s="44" t="n"/>
      <c r="F6" s="44" t="inlineStr">
        <is>
          <t>Open</t>
        </is>
      </c>
      <c r="G6" s="44" t="inlineStr">
        <is>
          <t>Can we set up email notification only for the 860?</t>
        </is>
      </c>
      <c r="H6" s="45" t="inlineStr">
        <is>
          <t xml:space="preserve">Yes email to Order Desk </t>
        </is>
      </c>
    </row>
    <row r="7" ht="174" customHeight="1">
      <c r="A7" s="44" t="n">
        <v>3</v>
      </c>
      <c r="B7" s="44" t="inlineStr">
        <is>
          <t>Costco</t>
        </is>
      </c>
      <c r="C7" s="44" t="inlineStr">
        <is>
          <t>820 = payment/remittance detail from Costco; 824 = error notice from Costco on our 810/856. Aptean shows no Costco 820s, and two 824s (9/29, 10/21). Does SHF receive Costco 820s today outside Aptean? If so, how?</t>
        </is>
      </c>
      <c r="D7" s="44" t="inlineStr">
        <is>
          <t>Shehadey</t>
        </is>
      </c>
      <c r="E7" s="44" t="n"/>
      <c r="F7" s="44" t="inlineStr">
        <is>
          <t>Open</t>
        </is>
      </c>
      <c r="G7" s="44" t="inlineStr">
        <is>
          <t>Costco does not test the 820; it is switched on after go-live. 824s come from Costco (never sent by SHF): 2 in production (9/29, 10/21) and 2 from Costco's test ID TST1COSTCOUSAXX (9/24). The 824 is part of Costco testing.</t>
        </is>
      </c>
      <c r="H7" s="45" t="inlineStr">
        <is>
          <t xml:space="preserve">Payment processor is High Radius(new) - 820 and the 824 would be emailed to SHF AR department. </t>
        </is>
      </c>
    </row>
    <row r="8" ht="79.5" customHeight="1">
      <c r="A8" s="44" t="n">
        <v>4</v>
      </c>
      <c r="B8" s="44" t="inlineStr">
        <is>
          <t>Costco</t>
        </is>
      </c>
      <c r="C8" s="44" t="inlineStr">
        <is>
          <t>Costco sends an 852 (sales/on-hand by warehouse) daily from ZZ/103391843VMI, and Aptean sends an identical copy back out to 01/103391843VMI. Who receives that copy (Park City Group?), and does ERMS use the 852 at all?</t>
        </is>
      </c>
      <c r="D8" s="44" t="inlineStr">
        <is>
          <t>Shehadey</t>
        </is>
      </c>
      <c r="E8" s="44" t="n"/>
      <c r="F8" s="44" t="inlineStr">
        <is>
          <t>Open</t>
        </is>
      </c>
      <c r="G8" s="44" t="inlineStr">
        <is>
          <t xml:space="preserve">Verified in Aptean raw data 10/26: inbound ISA sender ZZ/103391843VMI; outbound ISA receiver 01/103391843VMI, same content. How do VMI orders flow into ERMS? </t>
        </is>
      </c>
    </row>
    <row r="9" ht="64.5" customHeight="1">
      <c r="A9" s="44" t="n">
        <v>5</v>
      </c>
      <c r="B9" s="44" t="inlineStr">
        <is>
          <t>Costco</t>
        </is>
      </c>
      <c r="C9" s="44" t="inlineStr">
        <is>
          <t>Does Costco have a hard deadline for certification or go-live?</t>
        </is>
      </c>
      <c r="D9" s="44" t="inlineStr">
        <is>
          <t>Shehadey</t>
        </is>
      </c>
      <c r="E9" s="44" t="n"/>
      <c r="F9" s="44" t="inlineStr">
        <is>
          <t>Open</t>
        </is>
      </c>
      <c r="G9" s="44" t="inlineStr">
        <is>
          <t>OA: Costco testing runs in SPS portal (810, 824, 850, 856, 860, 997). Starts once vendor # is in.</t>
        </is>
      </c>
    </row>
    <row r="10" ht="43.5" customHeight="1">
      <c r="A10" s="44" t="n">
        <v>6</v>
      </c>
      <c r="B10" s="44" t="inlineStr">
        <is>
          <t>Aptean</t>
        </is>
      </c>
      <c r="C10" s="44" t="inlineStr">
        <is>
          <t>When does the Aptean contract end, and is there a planned shutoff date?</t>
        </is>
      </c>
      <c r="D10" s="44" t="inlineStr">
        <is>
          <t>Shehadey</t>
        </is>
      </c>
      <c r="E10" s="44" t="n"/>
      <c r="F10" s="44" t="inlineStr">
        <is>
          <t>Open</t>
        </is>
      </c>
      <c r="G10" s="44" t="inlineStr">
        <is>
          <t>Drives the cutover deadline.</t>
        </is>
      </c>
    </row>
    <row r="11" ht="29" customHeight="1">
      <c r="A11" s="44" t="n">
        <v>7</v>
      </c>
      <c r="B11" s="44" t="inlineStr">
        <is>
          <t>SFTP</t>
        </is>
      </c>
      <c r="C11" s="44" t="inlineStr">
        <is>
          <t>BizLink to Concurrent SFTP (CouchDrop): when can Narvel connect once we send credentials? Can BizLink send to both Aptean and CouchDrop during parallel testing? Which IP addresses do we need to allow?</t>
        </is>
      </c>
      <c r="D11" s="44" t="inlineStr">
        <is>
          <t>Shehadey (Adam + Narvel)</t>
        </is>
      </c>
      <c r="E11" s="44" t="n"/>
      <c r="F11" s="44" t="inlineStr">
        <is>
          <t>Open</t>
        </is>
      </c>
      <c r="G11" s="44" t="n"/>
    </row>
    <row r="12" ht="145" customHeight="1">
      <c r="A12" s="44" t="n">
        <v>8</v>
      </c>
      <c r="B12" s="44" t="inlineStr">
        <is>
          <t>Specs</t>
        </is>
      </c>
      <c r="C12" s="44" t="inlineStr">
        <is>
          <t>Send 3 Costco 810 flat files from ERMS (we can pull the matching X12 810s from Aptean). If values differ between the two, we will ask for the ERMS cross-reference table.</t>
        </is>
      </c>
      <c r="D12" s="44" t="inlineStr">
        <is>
          <t>Shehadey</t>
        </is>
      </c>
      <c r="E12" s="44" t="n"/>
      <c r="F12" s="44" t="inlineStr">
        <is>
          <t>Open</t>
        </is>
      </c>
      <c r="G12" s="44" t="inlineStr">
        <is>
          <t>Pairs show whether values pass straight through or are translated. Table only needed if they are translated.</t>
        </is>
      </c>
    </row>
    <row r="13" ht="145" customHeight="1">
      <c r="A13" s="44" t="n">
        <v>9</v>
      </c>
      <c r="B13" s="44" t="inlineStr">
        <is>
          <t>Specs</t>
        </is>
      </c>
      <c r="C13" s="44" t="inlineStr">
        <is>
          <t>Send 3 Costco pipe-delimited 850 flat files (as ERMS received them) - we can pull the matching X12 850s from Aptean by PO number.</t>
        </is>
      </c>
      <c r="D13" s="44" t="inlineStr">
        <is>
          <t>Shehadey</t>
        </is>
      </c>
      <c r="E13" s="44" t="n"/>
      <c r="F13" s="44" t="inlineStr">
        <is>
          <t>Open</t>
        </is>
      </c>
      <c r="G13" s="44" t="inlineStr">
        <is>
          <t>Lets us confirm the 850 mapping field by field.</t>
        </is>
      </c>
    </row>
    <row r="14" ht="57.5" customHeight="1">
      <c r="A14" s="44" t="n">
        <v>10</v>
      </c>
      <c r="B14" s="44" t="inlineStr">
        <is>
          <t>Specs</t>
        </is>
      </c>
      <c r="C14" s="44" t="inlineStr">
        <is>
          <t>Current-state flow doc (Umpqua/SPS, Park City)</t>
        </is>
      </c>
      <c r="D14" s="44" t="inlineStr">
        <is>
          <t>Shehadey</t>
        </is>
      </c>
      <c r="E14" s="44" t="n"/>
      <c r="F14" s="44" t="inlineStr">
        <is>
          <t>Open</t>
        </is>
      </c>
      <c r="G14" s="44" t="n"/>
    </row>
    <row r="15" ht="43.5" customHeight="1">
      <c r="A15" s="44" t="n">
        <v>11</v>
      </c>
      <c r="B15" s="44" t="inlineStr">
        <is>
          <t>Park City</t>
        </is>
      </c>
      <c r="C15" s="44" t="inlineStr">
        <is>
          <t>Schedule a call with Orderful (Kelly) and ReposiTrak about sending a copy of Park City Costco 850s (and 852s) to Orderful over AS2.</t>
        </is>
      </c>
      <c r="D15" s="44" t="inlineStr">
        <is>
          <t>Shehadey</t>
        </is>
      </c>
      <c r="E15" s="44" t="n"/>
      <c r="F15" s="44" t="inlineStr">
        <is>
          <t>Open</t>
        </is>
      </c>
      <c r="G15" s="44" t="inlineStr">
        <is>
          <t>Why: Fairfield and Model need Costco 856s, which we plan to build in Orderful WebEDI. WebEDI needs the 850 in Orderful first, and those orders come from Park City today.</t>
        </is>
      </c>
      <c r="H15" s="45" t="inlineStr">
        <is>
          <t xml:space="preserve">Adam email Reposi Trak </t>
        </is>
      </c>
    </row>
    <row r="16" ht="29" customHeight="1">
      <c r="A16" s="44" t="n">
        <v>12</v>
      </c>
      <c r="B16" s="44" t="inlineStr">
        <is>
          <t>Park City</t>
        </is>
      </c>
      <c r="C16" s="44" t="inlineStr">
        <is>
          <t>WebEDI 856s for Fairfield/Model: who enters them at each plant, and how do we test before go-live?</t>
        </is>
      </c>
      <c r="D16" s="44" t="inlineStr">
        <is>
          <t>Concurrent (Mark) + Adam</t>
        </is>
      </c>
      <c r="E16" s="44" t="n"/>
      <c r="F16" s="44" t="inlineStr">
        <is>
          <t>Open</t>
        </is>
      </c>
      <c r="G16" s="44" t="n"/>
    </row>
    <row r="17" ht="116" customHeight="1">
      <c r="A17" s="45" t="n">
        <v>13</v>
      </c>
      <c r="B17" s="45" t="inlineStr">
        <is>
          <t xml:space="preserve">Other action items </t>
        </is>
      </c>
    </row>
    <row r="18" ht="29" customHeight="1"/>
    <row r="19" ht="29" customHeight="1"/>
  </sheetData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A5" sqref="A5:XFD5"/>
    </sheetView>
  </sheetViews>
  <sheetFormatPr baseColWidth="8" defaultColWidth="8.6328125" defaultRowHeight="14.5"/>
  <cols>
    <col width="5" customWidth="1" min="1" max="1"/>
    <col width="58" customWidth="1" min="2" max="2"/>
    <col width="14" customWidth="1" min="3" max="3"/>
    <col width="10" customWidth="1" min="4" max="4"/>
    <col width="56" customWidth="1" min="5" max="5"/>
  </cols>
  <sheetData>
    <row r="1" ht="18" customHeight="1">
      <c r="A1" s="1" t="inlineStr">
        <is>
          <t>Shehadey Foods — Next Call Agenda</t>
        </is>
      </c>
    </row>
    <row r="2">
      <c r="A2" s="2" t="inlineStr">
        <is>
          <t>Weekly call after the 10/20 working session · times are suggestions</t>
        </is>
      </c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Lead</t>
        </is>
      </c>
      <c r="D4" s="3" t="inlineStr">
        <is>
          <t>Minutes</t>
        </is>
      </c>
      <c r="E4" s="3" t="inlineStr">
        <is>
          <t>Notes</t>
        </is>
      </c>
    </row>
    <row r="5" ht="25" customHeight="1">
      <c r="A5" s="4" t="n">
        <v>1</v>
      </c>
      <c r="B5" s="4" t="inlineStr">
        <is>
          <t>Recap of 10/20 decisions</t>
        </is>
      </c>
      <c r="C5" s="4" t="inlineStr">
        <is>
          <t>Mark</t>
        </is>
      </c>
      <c r="D5" s="4" t="n">
        <v>3</v>
      </c>
      <c r="E5" s="4" t="inlineStr">
        <is>
          <t>New Orderful ISA; Concurrent hosts SFTP; Park City stays as-is; Costco first.</t>
        </is>
      </c>
    </row>
    <row r="6">
      <c r="A6" s="4" t="n">
        <v>2</v>
      </c>
      <c r="B6" s="4" t="inlineStr">
        <is>
          <t>Costco certification and go-live date</t>
        </is>
      </c>
      <c r="C6" s="4" t="inlineStr">
        <is>
          <t>Mark</t>
        </is>
      </c>
      <c r="D6" s="4" t="n">
        <v>5</v>
      </c>
      <c r="E6" s="4" t="inlineStr">
        <is>
          <t>Critical question.</t>
        </is>
      </c>
    </row>
    <row r="7" ht="25" customHeight="1">
      <c r="A7" s="4" t="n">
        <v>3</v>
      </c>
      <c r="B7" s="4" t="inlineStr">
        <is>
          <t>Costco 856 path: ReposiTrak AS2 + WebEDI for Park City plants; Umpqua 856</t>
        </is>
      </c>
      <c r="C7" s="4" t="inlineStr">
        <is>
          <t>Mark / Adam</t>
        </is>
      </c>
      <c r="D7" s="4" t="n">
        <v>8</v>
      </c>
      <c r="E7" s="4" t="inlineStr">
        <is>
          <t>Critical + High questions.</t>
        </is>
      </c>
    </row>
    <row r="8">
      <c r="A8" s="4" t="n">
        <v>4</v>
      </c>
      <c r="B8" s="4" t="inlineStr">
        <is>
          <t>Mapping review: 850/810/856 drafts and open questions</t>
        </is>
      </c>
      <c r="C8" s="4" t="inlineStr">
        <is>
          <t>John</t>
        </is>
      </c>
      <c r="D8" s="4" t="n">
        <v>15</v>
      </c>
      <c r="E8" s="4" t="inlineStr">
        <is>
          <t>Walk the Costco mapping workbook; only the open/inferred rows.</t>
        </is>
      </c>
    </row>
    <row r="9">
      <c r="A9" s="4" t="n">
        <v>5</v>
      </c>
      <c r="B9" s="4" t="inlineStr">
        <is>
          <t>Cross-reference table and required fields</t>
        </is>
      </c>
      <c r="C9" s="4" t="inlineStr">
        <is>
          <t>John</t>
        </is>
      </c>
      <c r="D9" s="4" t="n">
        <v>5</v>
      </c>
      <c r="E9" s="4" t="n"/>
    </row>
    <row r="10">
      <c r="A10" s="4" t="n">
        <v>6</v>
      </c>
      <c r="B10" s="4" t="inlineStr">
        <is>
          <t>SFTP: folder structure and BizLink connection</t>
        </is>
      </c>
      <c r="C10" s="4" t="inlineStr">
        <is>
          <t>John</t>
        </is>
      </c>
      <c r="D10" s="4" t="n">
        <v>5</v>
      </c>
      <c r="E10" s="4" t="inlineStr">
        <is>
          <t>Concurrent provides details; Adam/Narvel connect.</t>
        </is>
      </c>
    </row>
    <row r="11">
      <c r="A11" s="4" t="n">
        <v>7</v>
      </c>
      <c r="B11" s="4" t="inlineStr">
        <is>
          <t>Other open questions</t>
        </is>
      </c>
      <c r="C11" s="4" t="inlineStr">
        <is>
          <t>Mark</t>
        </is>
      </c>
      <c r="D11" s="4" t="n">
        <v>4</v>
      </c>
      <c r="E11" s="4" t="n"/>
    </row>
    <row r="12">
      <c r="A12" s="4" t="n">
        <v>8</v>
      </c>
      <c r="B12" s="4" t="inlineStr">
        <is>
          <t>Next steps and blockers</t>
        </is>
      </c>
      <c r="C12" s="4" t="inlineStr">
        <is>
          <t>Mark</t>
        </is>
      </c>
      <c r="D12" s="4" t="n">
        <v>5</v>
      </c>
      <c r="E12" s="4" t="inlineStr">
        <is>
          <t>See tabs.</t>
        </is>
      </c>
    </row>
    <row r="13">
      <c r="B13" s="5" t="inlineStr">
        <is>
          <t>Total minutes</t>
        </is>
      </c>
      <c r="D13" s="5">
        <f>SUM(D5:D12)</f>
        <v/>
      </c>
    </row>
    <row r="15">
      <c r="B15" s="5" t="inlineStr">
        <is>
          <t>Questions open or follow-up</t>
        </is>
      </c>
      <c r="D15" s="6">
        <f>COUNTIF(Questions!H5:H37,"Open")+COUNTIF(Questions!H5:H37,"Follow-up")</f>
        <v/>
      </c>
    </row>
    <row r="16">
      <c r="B16" s="5" t="inlineStr">
        <is>
          <t>Critical still open</t>
        </is>
      </c>
      <c r="D16" s="6">
        <f>COUNTIFS(Questions!B5:B37,"Critical",Questions!H5:H37,"&lt;&gt;Answered")</f>
        <v/>
      </c>
    </row>
    <row r="17">
      <c r="B17" s="5" t="inlineStr">
        <is>
          <t>Answered</t>
        </is>
      </c>
      <c r="D17" s="6">
        <f>COUNTIF(Questions!H5:H37,"Answered")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zoomScaleNormal="100" workbookViewId="0">
      <pane ySplit="4" topLeftCell="A9" activePane="bottomLeft" state="frozen"/>
      <selection pane="bottomLeft" activeCell="D20" sqref="D20"/>
    </sheetView>
  </sheetViews>
  <sheetFormatPr baseColWidth="8" defaultColWidth="8.6328125" defaultRowHeight="14.5"/>
  <cols>
    <col width="5" customWidth="1" min="1" max="1"/>
    <col width="10" customWidth="1" min="2" max="2"/>
    <col width="18" customWidth="1" min="3" max="3"/>
    <col width="52" customWidth="1" min="4" max="4"/>
    <col width="46" customWidth="1" min="5" max="5"/>
    <col width="14" customWidth="1" min="6" max="6"/>
    <col width="58" customWidth="1" min="7" max="7"/>
    <col width="12" customWidth="1" min="8" max="8"/>
    <col width="16.6328125" customWidth="1" min="9" max="9"/>
  </cols>
  <sheetData>
    <row r="1" ht="18" customHeight="1">
      <c r="A1" s="1" t="inlineStr">
        <is>
          <t>Shehadey Foods — Questions</t>
        </is>
      </c>
    </row>
    <row r="2">
      <c r="A2" s="2" t="inlineStr">
        <is>
          <t>Open and follow-up questions first; answered questions (gray) at the bottom. Updated from the 10/20 call transcript.</t>
        </is>
      </c>
    </row>
    <row r="4" ht="52" customHeight="1">
      <c r="A4" s="7" t="inlineStr">
        <is>
          <t>#</t>
        </is>
      </c>
      <c r="B4" s="7" t="inlineStr">
        <is>
          <t>Priority</t>
        </is>
      </c>
      <c r="C4" s="7" t="inlineStr">
        <is>
          <t>Topic</t>
        </is>
      </c>
      <c r="D4" s="7" t="inlineStr">
        <is>
          <t>Question</t>
        </is>
      </c>
      <c r="E4" s="7" t="inlineStr">
        <is>
          <t>Context</t>
        </is>
      </c>
      <c r="F4" s="7" t="inlineStr">
        <is>
          <t>Owner</t>
        </is>
      </c>
      <c r="G4" s="7" t="inlineStr">
        <is>
          <t>Answer / notes</t>
        </is>
      </c>
      <c r="H4" s="7" t="inlineStr">
        <is>
          <t>Status</t>
        </is>
      </c>
      <c r="I4" s="17" t="inlineStr">
        <is>
          <t>10/22 or after Mark notes</t>
        </is>
      </c>
    </row>
    <row r="5" ht="112.5" customHeight="1">
      <c r="A5" s="8" t="n">
        <v>1</v>
      </c>
      <c r="B5" s="8" t="inlineStr">
        <is>
          <t>Critical</t>
        </is>
      </c>
      <c r="C5" s="8" t="inlineStr">
        <is>
          <t>Files</t>
        </is>
      </c>
      <c r="D5" s="8" t="inlineStr">
        <is>
          <t>Can you send a Costco raw 850 and the flat file Aptean produced from it (Umpqua/SPS)? Or confirm we should pull both from Aptean ourselves.</t>
        </is>
      </c>
      <c r="E5" s="8" t="inlineStr">
        <is>
          <t>Only Walmart/Sam's raw 850s were uploaded. A Costco pair takes the 850 mapping from ~89% to near 100%.</t>
        </is>
      </c>
      <c r="F5" s="8" t="inlineStr">
        <is>
          <t>Adam</t>
        </is>
      </c>
      <c r="G5" s="9" t="inlineStr">
        <is>
          <t>Mark to try pulling from Aptean first using the credentials in the Orderful credential vault.</t>
        </is>
      </c>
      <c r="H5" s="9" t="inlineStr">
        <is>
          <t>Follow-up</t>
        </is>
      </c>
      <c r="I5" s="14" t="inlineStr">
        <is>
          <t xml:space="preserve">Mark to follow up with Adam - log in saved in Orderful is not working </t>
        </is>
      </c>
    </row>
    <row r="6" ht="200" customHeight="1">
      <c r="A6" s="8" t="n">
        <v>2</v>
      </c>
      <c r="B6" s="8" t="inlineStr">
        <is>
          <t>Critical</t>
        </is>
      </c>
      <c r="C6" s="8" t="inlineStr">
        <is>
          <t>Costco 856 (Park City plants)</t>
        </is>
      </c>
      <c r="D6" s="8" t="inlineStr">
        <is>
          <t>Can Park City / ReposiTrak send a copy of the Costco 850 (or 852) to Orderful over AS2?</t>
        </is>
      </c>
      <c r="E6" s="8" t="inlineStr">
        <is>
          <t>Without an 850 in Orderful, WebEDI can't build the 856 for Fairfield and Model.</t>
        </is>
      </c>
      <c r="F6" s="8" t="inlineStr">
        <is>
          <t>Adam</t>
        </is>
      </c>
      <c r="G6" s="9" t="inlineStr">
        <is>
          <t>Adam to contact Park City / ReposiTrak.</t>
        </is>
      </c>
      <c r="H6" s="9" t="inlineStr">
        <is>
          <t>Follow-up</t>
        </is>
      </c>
      <c r="I6" s="14" t="inlineStr">
        <is>
          <t>Adam emailed Kelly asking about how we could connecto to ReposiTrak via AS2. She requested a time to meet</t>
        </is>
      </c>
    </row>
    <row r="7" ht="37.5" customHeight="1">
      <c r="A7" s="8" t="n">
        <v>3</v>
      </c>
      <c r="B7" s="8" t="inlineStr">
        <is>
          <t>Critical</t>
        </is>
      </c>
      <c r="C7" s="8" t="inlineStr">
        <is>
          <t>Costco go-live</t>
        </is>
      </c>
      <c r="D7" s="8" t="inlineStr">
        <is>
          <t>What is the Costco certification status and target go-live date?</t>
        </is>
      </c>
      <c r="E7" s="8" t="inlineStr">
        <is>
          <t>Certification target of 10/15 was missed; Costco sets go-live after certification. SPS costs $100/vendor/month and is growing.</t>
        </is>
      </c>
      <c r="F7" s="8" t="inlineStr">
        <is>
          <t>Adam</t>
        </is>
      </c>
      <c r="G7" s="9" t="n"/>
      <c r="H7" s="9" t="inlineStr">
        <is>
          <t>Open</t>
        </is>
      </c>
    </row>
    <row r="8" ht="37.5" customHeight="1">
      <c r="A8" s="8" t="n">
        <v>4</v>
      </c>
      <c r="B8" s="8" t="inlineStr">
        <is>
          <t>Critical</t>
        </is>
      </c>
      <c r="C8" s="8" t="inlineStr">
        <is>
          <t>Cross-reference</t>
        </is>
      </c>
      <c r="D8" s="8" t="inlineStr">
        <is>
          <t>Can you send the ERMS cross-reference table (store/ship-to and item cross-references)?</t>
        </is>
      </c>
      <c r="E8" s="8" t="inlineStr">
        <is>
          <t>Confirmed on the call that ERMS uses a cross-reference table (e.g., store 482). One miss drops the whole file.</t>
        </is>
      </c>
      <c r="F8" s="8" t="inlineStr">
        <is>
          <t>Adam / Narvel</t>
        </is>
      </c>
      <c r="G8" s="9" t="n"/>
      <c r="H8" s="9" t="inlineStr">
        <is>
          <t>Open</t>
        </is>
      </c>
    </row>
    <row r="9" ht="212.5" customHeight="1">
      <c r="A9" s="8" t="n">
        <v>5</v>
      </c>
      <c r="B9" s="8" t="inlineStr">
        <is>
          <t>Critical</t>
        </is>
      </c>
      <c r="C9" s="8" t="inlineStr">
        <is>
          <t>Specs</t>
        </is>
      </c>
      <c r="D9" s="8" t="inlineStr">
        <is>
          <t>Is there an 'IN 810 file layout' document (and equivalents for the 850/856)? Your 810 template refers to it.</t>
        </is>
      </c>
      <c r="E9" s="8" t="inlineStr">
        <is>
          <t>Would close several unknown header fields (810 HDR 14, 18, 19, 28; 856 HDR 13–18).</t>
        </is>
      </c>
      <c r="F9" s="8" t="inlineStr">
        <is>
          <t>Adam</t>
        </is>
      </c>
      <c r="G9" s="9" t="n"/>
      <c r="H9" s="9" t="inlineStr">
        <is>
          <t>Open</t>
        </is>
      </c>
      <c r="I9" s="14" t="inlineStr">
        <is>
          <t>Short question to Adam - are there any other flat file specs (810, 856, 850, 852) other than those provided?</t>
        </is>
      </c>
    </row>
    <row r="10" ht="75" customHeight="1">
      <c r="A10" s="10" t="n">
        <v>6</v>
      </c>
      <c r="B10" s="11" t="inlineStr">
        <is>
          <t>High</t>
        </is>
      </c>
      <c r="C10" s="10" t="inlineStr">
        <is>
          <t>Doc type scope</t>
        </is>
      </c>
      <c r="D10" s="10" t="inlineStr">
        <is>
          <t>Does ERMS import any of the 860, 876, 895, 820, 812, 864 or 824 today, or does Aptean just receive them?</t>
        </is>
      </c>
      <c r="E10" s="10" t="inlineStr">
        <is>
          <t>Decides which of the 17 doc types in use need an ERMS mapping. 852 confirmed as no mapping (10/20). Likely no mapping: 997, 816; possibly 820/812/864/824 if AR can use Orderful's UI or alerts.</t>
        </is>
      </c>
      <c r="F10" s="10" t="inlineStr">
        <is>
          <t>Adam / Narvel</t>
        </is>
      </c>
      <c r="G10" s="9" t="n"/>
      <c r="H10" s="9" t="inlineStr">
        <is>
          <t>Open</t>
        </is>
      </c>
      <c r="I10" s="15" t="n"/>
    </row>
    <row r="11" ht="75" customHeight="1">
      <c r="A11" s="10" t="n">
        <v>7</v>
      </c>
      <c r="B11" s="11" t="inlineStr">
        <is>
          <t>High</t>
        </is>
      </c>
      <c r="C11" s="10" t="inlineStr">
        <is>
          <t>Aptean</t>
        </is>
      </c>
      <c r="D11" s="10" t="inlineStr">
        <is>
          <t>Does Aptean apply partner-specific logic or cross-references on top of the ERMS layout?</t>
        </is>
      </c>
      <c r="E11" s="10" t="inlineStr">
        <is>
          <t>Adam: Aptean maps X12 to what ERMS needs; anything extra is ignored. Partner-specific rules not confirmed.</t>
        </is>
      </c>
      <c r="F11" s="10" t="inlineStr">
        <is>
          <t>Adam</t>
        </is>
      </c>
      <c r="G11" s="9" t="inlineStr">
        <is>
          <t>Partly answered; we'll check maps in Aptean.</t>
        </is>
      </c>
      <c r="H11" s="9" t="inlineStr">
        <is>
          <t>Follow-up</t>
        </is>
      </c>
      <c r="I11" s="15" t="inlineStr">
        <is>
          <t>Gain access and check maps in Aptean</t>
        </is>
      </c>
    </row>
    <row r="12" ht="25" customHeight="1">
      <c r="A12" s="10" t="n">
        <v>8</v>
      </c>
      <c r="B12" s="11" t="inlineStr">
        <is>
          <t>High</t>
        </is>
      </c>
      <c r="C12" s="10" t="inlineStr">
        <is>
          <t>ERMS import</t>
        </is>
      </c>
      <c r="D12" s="10" t="inlineStr">
        <is>
          <t>Which fields must be populated for ERMS to import (field level, not just record types)?</t>
        </is>
      </c>
      <c r="E12" s="10" t="inlineStr">
        <is>
          <t>Adam: ERMS needs only the HDR/HST/HBT/HCM/LDT/TOT records; other data ignored. Field-level rules still unknown.</t>
        </is>
      </c>
      <c r="F12" s="10" t="inlineStr">
        <is>
          <t>Adam</t>
        </is>
      </c>
      <c r="G12" s="9" t="inlineStr">
        <is>
          <t>Record-level answer only.</t>
        </is>
      </c>
      <c r="H12" s="9" t="inlineStr">
        <is>
          <t>Follow-up</t>
        </is>
      </c>
      <c r="I12" s="15" t="inlineStr">
        <is>
          <t>Gain access and check maps in Aptean</t>
        </is>
      </c>
    </row>
    <row r="13" ht="25" customHeight="1">
      <c r="A13" s="10" t="n">
        <v>9</v>
      </c>
      <c r="B13" s="11" t="inlineStr">
        <is>
          <t>High</t>
        </is>
      </c>
      <c r="C13" s="10" t="inlineStr">
        <is>
          <t>ERMS import</t>
        </is>
      </c>
      <c r="D13" s="10" t="inlineStr">
        <is>
          <t>How should Tray handle an order missing required data: write the file anyway and let ERMS reject it, or hold it and alert?</t>
        </is>
      </c>
      <c r="E13" s="10" t="inlineStr">
        <is>
          <t>ERMS drops the whole file on an error and failures are silent.</t>
        </is>
      </c>
      <c r="F13" s="10" t="inlineStr">
        <is>
          <t>Adam / John</t>
        </is>
      </c>
      <c r="G13" s="9" t="n"/>
      <c r="H13" s="9" t="inlineStr">
        <is>
          <t>Open</t>
        </is>
      </c>
    </row>
    <row r="14" ht="25" customHeight="1">
      <c r="A14" s="10" t="n">
        <v>10</v>
      </c>
      <c r="B14" s="11" t="inlineStr">
        <is>
          <t>High</t>
        </is>
      </c>
      <c r="C14" s="10" t="inlineStr">
        <is>
          <t>ERMS import</t>
        </is>
      </c>
      <c r="D14" s="10" t="inlineStr">
        <is>
          <t>Does ERMS have a test environment, or a way to keep test 850s out of production?</t>
        </is>
      </c>
      <c r="E14" s="10" t="n"/>
      <c r="F14" s="10" t="inlineStr">
        <is>
          <t>Adam</t>
        </is>
      </c>
      <c r="G14" s="9" t="n"/>
      <c r="H14" s="9" t="inlineStr">
        <is>
          <t>Open</t>
        </is>
      </c>
    </row>
    <row r="15" ht="25" customHeight="1">
      <c r="A15" s="10" t="n">
        <v>11</v>
      </c>
      <c r="B15" s="11" t="inlineStr">
        <is>
          <t>High</t>
        </is>
      </c>
      <c r="C15" s="10" t="inlineStr">
        <is>
          <t>856</t>
        </is>
      </c>
      <c r="D15" s="10" t="inlineStr">
        <is>
          <t>For Umpqua Costco, will the 856 come from the RA program (no SSCC) or manual WebEDI? Costco requires SSCC labels.</t>
        </is>
      </c>
      <c r="E15" s="10" t="inlineStr">
        <is>
          <t>Umpqua has no WMS; RA-style data can't show pallets or short ships.</t>
        </is>
      </c>
      <c r="F15" s="10" t="inlineStr">
        <is>
          <t>Adam</t>
        </is>
      </c>
      <c r="G15" s="9" t="n"/>
      <c r="H15" s="9" t="inlineStr">
        <is>
          <t>Open</t>
        </is>
      </c>
    </row>
    <row r="16" ht="25" customHeight="1">
      <c r="A16" s="10" t="n">
        <v>12</v>
      </c>
      <c r="B16" s="11" t="inlineStr">
        <is>
          <t>High</t>
        </is>
      </c>
      <c r="C16" s="10" t="inlineStr">
        <is>
          <t>856</t>
        </is>
      </c>
      <c r="D16" s="10" t="inlineStr">
        <is>
          <t>Which flat file field is the true shipped quantity (HI 13 vs HI 14)? Where do ship-from, carrier, BOL and weight come from?</t>
        </is>
      </c>
      <c r="E16" s="10" t="inlineStr">
        <is>
          <t>HI 14 is 0 in the UW sample; no source for N1*SF, TD5, REF*BM, TD1.</t>
        </is>
      </c>
      <c r="F16" s="10" t="inlineStr">
        <is>
          <t>Adam</t>
        </is>
      </c>
      <c r="G16" s="9" t="n"/>
      <c r="H16" s="9" t="inlineStr">
        <is>
          <t>Open</t>
        </is>
      </c>
    </row>
    <row r="17" ht="25" customHeight="1">
      <c r="A17" s="10" t="n">
        <v>13</v>
      </c>
      <c r="B17" s="11" t="inlineStr">
        <is>
          <t>High</t>
        </is>
      </c>
      <c r="C17" s="10" t="inlineStr">
        <is>
          <t>SFTP</t>
        </is>
      </c>
      <c r="D17" s="10" t="inlineStr">
        <is>
          <t>Can BizLink send one file to two destinations (for comparing against Aptean during testing)?</t>
        </is>
      </c>
      <c r="E17" s="10" t="inlineStr">
        <is>
          <t>Adam: BizLink is a file mover and supports many setups.</t>
        </is>
      </c>
      <c r="F17" s="10" t="inlineStr">
        <is>
          <t>Adam</t>
        </is>
      </c>
      <c r="G17" s="9" t="n"/>
      <c r="H17" s="9" t="inlineStr">
        <is>
          <t>Open</t>
        </is>
      </c>
    </row>
    <row r="18" ht="25" customHeight="1">
      <c r="A18" s="10" t="n">
        <v>14</v>
      </c>
      <c r="B18" s="11" t="inlineStr">
        <is>
          <t>High</t>
        </is>
      </c>
      <c r="C18" s="10" t="inlineStr">
        <is>
          <t>Costco pilot</t>
        </is>
      </c>
      <c r="D18" s="10" t="inlineStr">
        <is>
          <t>Can you share the SPS testing portal credentials?</t>
        </is>
      </c>
      <c r="E18" s="10" t="inlineStr">
        <is>
          <t>Kickoff action item.</t>
        </is>
      </c>
      <c r="F18" s="10" t="inlineStr">
        <is>
          <t>Adam</t>
        </is>
      </c>
      <c r="G18" s="9" t="n"/>
      <c r="H18" s="9" t="inlineStr">
        <is>
          <t>Open</t>
        </is>
      </c>
    </row>
    <row r="19" ht="25" customHeight="1">
      <c r="A19" s="10" t="n">
        <v>15</v>
      </c>
      <c r="B19" s="11" t="inlineStr">
        <is>
          <t>High</t>
        </is>
      </c>
      <c r="C19" s="10" t="inlineStr">
        <is>
          <t>Plant routing</t>
        </is>
      </c>
      <c r="D19" s="10" t="inlineStr">
        <is>
          <t>Confirm how each partner identifies the plant in the 850 (DUNS, store number, buyer-vendor number).</t>
        </is>
      </c>
      <c r="E19" s="10" t="inlineStr">
        <is>
          <t>Becky: DUNS identifies the location. Needed because all partners move to one Orderful ISA.</t>
        </is>
      </c>
      <c r="F19" s="10" t="inlineStr">
        <is>
          <t>Adam / Becky</t>
        </is>
      </c>
      <c r="G19" s="9" t="n"/>
      <c r="H19" s="9" t="inlineStr">
        <is>
          <t>Follow-up</t>
        </is>
      </c>
    </row>
    <row r="20" ht="25" customHeight="1">
      <c r="A20" s="10" t="n">
        <v>16</v>
      </c>
      <c r="B20" s="10" t="inlineStr">
        <is>
          <t>Medium</t>
        </is>
      </c>
      <c r="C20" s="10" t="inlineStr">
        <is>
          <t>Partners</t>
        </is>
      </c>
      <c r="D20" s="10" t="inlineStr">
        <is>
          <t>When can we get the Mid Valley (Phase 2) partner list?</t>
        </is>
      </c>
      <c r="E20" s="10" t="n"/>
      <c r="F20" s="10" t="inlineStr">
        <is>
          <t>Becky</t>
        </is>
      </c>
      <c r="G20" s="9" t="n"/>
      <c r="H20" s="9" t="inlineStr">
        <is>
          <t>Open</t>
        </is>
      </c>
    </row>
    <row r="21" ht="25" customHeight="1">
      <c r="A21" s="10" t="n">
        <v>17</v>
      </c>
      <c r="B21" s="10" t="inlineStr">
        <is>
          <t>High</t>
        </is>
      </c>
      <c r="C21" s="10" t="inlineStr">
        <is>
          <t>Doc types</t>
        </is>
      </c>
      <c r="D21" s="10" t="inlineStr">
        <is>
          <t>Do the 820, 812, 864 and 824 need to go into ERMS, or is viewing them in Orderful enough?</t>
        </is>
      </c>
      <c r="E21" s="10" t="n"/>
      <c r="F21" s="10" t="inlineStr">
        <is>
          <t>Adam</t>
        </is>
      </c>
      <c r="G21" s="9" t="n"/>
      <c r="H21" s="9" t="inlineStr">
        <is>
          <t>Open</t>
        </is>
      </c>
    </row>
    <row r="22" ht="25" customHeight="1">
      <c r="A22" s="10" t="n">
        <v>18</v>
      </c>
      <c r="B22" s="10" t="inlineStr">
        <is>
          <t>Medium</t>
        </is>
      </c>
      <c r="C22" s="10" t="inlineStr">
        <is>
          <t>Doc types</t>
        </is>
      </c>
      <c r="D22" s="10" t="inlineStr">
        <is>
          <t>Where does the 855 come from today?</t>
        </is>
      </c>
      <c r="E22" s="10" t="n"/>
      <c r="F22" s="10" t="inlineStr">
        <is>
          <t>Adam</t>
        </is>
      </c>
      <c r="G22" s="9" t="n"/>
      <c r="H22" s="9" t="inlineStr">
        <is>
          <t>Open</t>
        </is>
      </c>
    </row>
    <row r="23" ht="37.5" customHeight="1">
      <c r="A23" s="10" t="n">
        <v>19</v>
      </c>
      <c r="B23" s="10" t="inlineStr">
        <is>
          <t>Medium</t>
        </is>
      </c>
      <c r="C23" s="10" t="inlineStr">
        <is>
          <t>Files</t>
        </is>
      </c>
      <c r="D23" s="10" t="inlineStr">
        <is>
          <t>What do the NCS and NCW file prefixes mean, and what naming must Tray use?</t>
        </is>
      </c>
      <c r="E23" s="10" t="n"/>
      <c r="F23" s="10" t="inlineStr">
        <is>
          <t>Adam</t>
        </is>
      </c>
      <c r="G23" s="9" t="n"/>
      <c r="H23" s="9" t="inlineStr">
        <is>
          <t>Open</t>
        </is>
      </c>
    </row>
    <row r="24" ht="37.5" customHeight="1">
      <c r="A24" s="10" t="n">
        <v>20</v>
      </c>
      <c r="B24" s="10" t="inlineStr">
        <is>
          <t>Medium</t>
        </is>
      </c>
      <c r="C24" s="10" t="inlineStr">
        <is>
          <t>Aptean</t>
        </is>
      </c>
      <c r="D24" s="10" t="inlineStr">
        <is>
          <t>What's the biggest frustration with Aptean today, and what does success look like?</t>
        </is>
      </c>
      <c r="E24" s="10" t="inlineStr">
        <is>
          <t>Heard so far: Aptean portal is clunky, multiple ID sets are confusing, limited documentation since the iSeries/EDI lead retired, SPS cost growing.</t>
        </is>
      </c>
      <c r="F24" s="10" t="inlineStr">
        <is>
          <t>Steve / Adam</t>
        </is>
      </c>
      <c r="G24" s="9" t="inlineStr">
        <is>
          <t>Partly answered.</t>
        </is>
      </c>
      <c r="H24" s="9" t="inlineStr">
        <is>
          <t>Follow-up</t>
        </is>
      </c>
    </row>
    <row r="25" ht="50" customHeight="1">
      <c r="A25" s="12" t="n">
        <v>21</v>
      </c>
      <c r="B25" s="12" t="inlineStr">
        <is>
          <t>Critical</t>
        </is>
      </c>
      <c r="C25" s="12" t="inlineStr">
        <is>
          <t>SFTP</t>
        </is>
      </c>
      <c r="D25" s="12" t="inlineStr">
        <is>
          <t>Who will own and host the SFTP server?</t>
        </is>
      </c>
      <c r="E25" s="12" t="n"/>
      <c r="F25" s="12" t="inlineStr">
        <is>
          <t>Adam / John</t>
        </is>
      </c>
      <c r="G25" s="12" t="inlineStr">
        <is>
          <t>Concurrent hosts it ('way easier for us'). Concurrent provides inbound/outbound folders and instructions; Adam and Narvel connect BizLink (file mover only). John to confirm any added cost internally.</t>
        </is>
      </c>
      <c r="H25" s="12" t="inlineStr">
        <is>
          <t>Answered</t>
        </is>
      </c>
    </row>
    <row r="26" ht="62.5" customHeight="1">
      <c r="A26" s="12" t="n">
        <v>22</v>
      </c>
      <c r="B26" s="12" t="inlineStr">
        <is>
          <t>Critical</t>
        </is>
      </c>
      <c r="C26" s="12" t="inlineStr">
        <is>
          <t>File types</t>
        </is>
      </c>
      <c r="D26" s="12" t="inlineStr">
        <is>
          <t>Will ERMS expect two 850 file types (Park City fixed-width and pipe-delimited)?</t>
        </is>
      </c>
      <c r="E26" s="12" t="n"/>
      <c r="F26" s="12" t="inlineStr">
        <is>
          <t>Adam</t>
        </is>
      </c>
      <c r="G26" s="12" t="inlineStr">
        <is>
          <t>Park City orders are downloaded directly from Park City's site (not EDI) for Fresno, Fairfield and Model (VMI: Walmart, Sam's, Costco, maybe Pitco). Plan: leave Park City as-is, so Tray only builds the pipe-delimited (NCS/NCW) format. Umpqua trades direct via EDI.</t>
        </is>
      </c>
      <c r="H26" s="12" t="inlineStr">
        <is>
          <t>Answered</t>
        </is>
      </c>
    </row>
    <row r="27" ht="37.5" customHeight="1">
      <c r="A27" s="12" t="n">
        <v>23</v>
      </c>
      <c r="B27" s="12" t="inlineStr">
        <is>
          <t>Critical</t>
        </is>
      </c>
      <c r="C27" s="12" t="inlineStr">
        <is>
          <t>Specs + payloads</t>
        </is>
      </c>
      <c r="D27" s="12" t="inlineStr">
        <is>
          <t>Can you send a spec for every document type plus related payloads?</t>
        </is>
      </c>
      <c r="E27" s="12" t="n"/>
      <c r="F27" s="12" t="inlineStr">
        <is>
          <t>Adam</t>
        </is>
      </c>
      <c r="G27" s="12" t="inlineStr">
        <is>
          <t>Adam's mapping templates are the spec (no formal spec exists). Received: 850/810/856 templates, 59 production 850 flat files, 810 and 856 samples, Park City layouts (Costco 50A, Walmart 60A, Pitco), 6 raw Walmart/Sam's 850s. Aptean access provided to pull raw X12.</t>
        </is>
      </c>
      <c r="H27" s="12" t="inlineStr">
        <is>
          <t>Answered</t>
        </is>
      </c>
    </row>
    <row r="28" ht="62.5" customHeight="1">
      <c r="A28" s="12" t="n">
        <v>24</v>
      </c>
      <c r="B28" s="12" t="inlineStr">
        <is>
          <t>Critical</t>
        </is>
      </c>
      <c r="C28" s="12" t="inlineStr">
        <is>
          <t>Aptean vs ERMS</t>
        </is>
      </c>
      <c r="D28" s="12" t="inlineStr">
        <is>
          <t>Are the Aptean mappings the same as the ERMS flat file mappings?</t>
        </is>
      </c>
      <c r="E28" s="12" t="n"/>
      <c r="F28" s="12" t="inlineStr">
        <is>
          <t>Adam</t>
        </is>
      </c>
      <c r="G28" s="12" t="inlineStr">
        <is>
          <t>Aptean translates X12 into the ERMS flat file 'based on what you told us you need.' The flat file is what Tray must reproduce. Partner-specific logic: see follow-up above.</t>
        </is>
      </c>
      <c r="H28" s="12" t="inlineStr">
        <is>
          <t>Answered</t>
        </is>
      </c>
    </row>
    <row r="29" ht="37.5" customHeight="1">
      <c r="A29" s="12" t="n">
        <v>25</v>
      </c>
      <c r="B29" s="12" t="inlineStr">
        <is>
          <t>High</t>
        </is>
      </c>
      <c r="C29" s="12" t="inlineStr">
        <is>
          <t>Costco pilot</t>
        </is>
      </c>
      <c r="D29" s="12" t="inlineStr">
        <is>
          <t>Which Costco relationships are in the pilot?</t>
        </is>
      </c>
      <c r="E29" s="12" t="n"/>
      <c r="F29" s="12" t="inlineStr">
        <is>
          <t>Adam</t>
        </is>
      </c>
      <c r="G29" s="12" t="inlineStr">
        <is>
          <t>Two channels: (1) Umpqua via SPS: 850 in, 810 out, 856 in testing. (2) Park City VMI for Fresno/Fairfield/Model: 852 carbon copy to Park City, 850 by direct download, 856 now required. Fresno has a WMS; Fairfield (~10 Costcos, ~10/day) and Model manual via WebEDI; Umpqua 2 products about twice a week.</t>
        </is>
      </c>
      <c r="H29" s="12" t="inlineStr">
        <is>
          <t>Answered</t>
        </is>
      </c>
    </row>
    <row r="30" ht="25" customHeight="1">
      <c r="A30" s="12" t="n">
        <v>26</v>
      </c>
      <c r="B30" s="12" t="inlineStr">
        <is>
          <t>High</t>
        </is>
      </c>
      <c r="C30" s="12" t="inlineStr">
        <is>
          <t>ISA IDs</t>
        </is>
      </c>
      <c r="D30" s="12" t="inlineStr">
        <is>
          <t>Keep plant-based ISA IDs or switch to new Orderful ISA IDs?</t>
        </is>
      </c>
      <c r="E30" s="12" t="n"/>
      <c r="F30" s="12" t="inlineStr">
        <is>
          <t>Adam</t>
        </is>
      </c>
      <c r="G30" s="12" t="inlineStr">
        <is>
          <t>Switch to new Orderful ISA IDs for all partners (consolidates Umpqua, Producers and Mid Valley ID sets). Plant identified by DUNS / store in the 850.</t>
        </is>
      </c>
      <c r="H30" s="12" t="inlineStr">
        <is>
          <t>Answered</t>
        </is>
      </c>
    </row>
    <row r="31" ht="25" customHeight="1">
      <c r="A31" s="12" t="n">
        <v>27</v>
      </c>
      <c r="B31" s="12" t="inlineStr">
        <is>
          <t>High</t>
        </is>
      </c>
      <c r="C31" s="12" t="inlineStr">
        <is>
          <t>Working model</t>
        </is>
      </c>
      <c r="D31" s="12" t="inlineStr">
        <is>
          <t>Who answers field-level questions while we map offline?</t>
        </is>
      </c>
      <c r="E31" s="12" t="n"/>
      <c r="F31" s="12" t="inlineStr">
        <is>
          <t>Adam</t>
        </is>
      </c>
      <c r="G31" s="12" t="inlineStr">
        <is>
          <t>Adam (with Narvel). Concurrent maps offline, sends questions, reviews at the weekly meeting.</t>
        </is>
      </c>
      <c r="H31" s="12" t="inlineStr">
        <is>
          <t>Answered</t>
        </is>
      </c>
    </row>
    <row r="32" ht="37.5" customHeight="1">
      <c r="A32" s="12" t="n">
        <v>28</v>
      </c>
      <c r="B32" s="12" t="inlineStr">
        <is>
          <t>High</t>
        </is>
      </c>
      <c r="C32" s="12" t="inlineStr">
        <is>
          <t>ERMS import</t>
        </is>
      </c>
      <c r="D32" s="12" t="inlineStr">
        <is>
          <t>How does ERMS identify the ship-to and bill-to?</t>
        </is>
      </c>
      <c r="E32" s="12" t="n"/>
      <c r="F32" s="12" t="inlineStr">
        <is>
          <t>Adam</t>
        </is>
      </c>
      <c r="G32" s="12" t="inlineStr">
        <is>
          <t>By an ID that ERMS looks up in its cross-reference table; ERMS takes the bare minimum and does the rest.</t>
        </is>
      </c>
      <c r="H32" s="12" t="inlineStr">
        <is>
          <t>Answered</t>
        </is>
      </c>
    </row>
    <row r="33" ht="25" customHeight="1">
      <c r="A33" s="12" t="n">
        <v>29</v>
      </c>
      <c r="B33" s="12" t="inlineStr">
        <is>
          <t>High</t>
        </is>
      </c>
      <c r="C33" s="12" t="inlineStr">
        <is>
          <t>Costco pilot</t>
        </is>
      </c>
      <c r="D33" s="12" t="inlineStr">
        <is>
          <t>How will Costco ASNs and labels be handled?</t>
        </is>
      </c>
      <c r="E33" s="12" t="n"/>
      <c r="F33" s="12" t="inlineStr">
        <is>
          <t>Adam</t>
        </is>
      </c>
      <c r="G33" s="12" t="inlineStr">
        <is>
          <t>Fresno automated via WMS; Fairfield and Model manual via Orderful WebEDI (SCAC can be hardcoded to their own trucks). WMS for remaining plants targeted by end of next year.</t>
        </is>
      </c>
      <c r="H33" s="12" t="inlineStr">
        <is>
          <t>Answered</t>
        </is>
      </c>
    </row>
    <row r="34" ht="25" customHeight="1">
      <c r="A34" s="12" t="n">
        <v>30</v>
      </c>
      <c r="B34" s="12" t="inlineStr">
        <is>
          <t>High</t>
        </is>
      </c>
      <c r="C34" s="12" t="inlineStr">
        <is>
          <t>Partners</t>
        </is>
      </c>
      <c r="D34" s="12" t="inlineStr">
        <is>
          <t>Is the partner list complete so we can mass upload?</t>
        </is>
      </c>
      <c r="E34" s="12" t="n"/>
      <c r="F34" s="12" t="inlineStr">
        <is>
          <t>Adam</t>
        </is>
      </c>
      <c r="G34" s="12" t="inlineStr">
        <is>
          <t>Proceed: Mark pushes trade requests now with the new Orderful ISA, Costco first. A few partners still have questions.</t>
        </is>
      </c>
      <c r="H34" s="12" t="inlineStr">
        <is>
          <t>Answered</t>
        </is>
      </c>
    </row>
    <row r="35" ht="25" customHeight="1">
      <c r="A35" s="12" t="n">
        <v>31</v>
      </c>
      <c r="B35" s="12" t="inlineStr">
        <is>
          <t>Medium</t>
        </is>
      </c>
      <c r="C35" s="12" t="inlineStr">
        <is>
          <t>Doc types</t>
        </is>
      </c>
      <c r="D35" s="12" t="inlineStr">
        <is>
          <t>Confirm the 852 carbon copy setup.</t>
        </is>
      </c>
      <c r="E35" s="12" t="n"/>
      <c r="F35" s="12" t="inlineStr">
        <is>
          <t>Adam / Narvel</t>
        </is>
      </c>
      <c r="G35" s="12" t="inlineStr">
        <is>
          <t>ERMS does not process the 852 (Narvel confirmed). Orderful can accept it, return a 997, and optionally email a notice.</t>
        </is>
      </c>
      <c r="H35" s="12" t="inlineStr">
        <is>
          <t>Answered</t>
        </is>
      </c>
    </row>
    <row r="36" ht="25" customHeight="1">
      <c r="A36" s="12" t="n">
        <v>32</v>
      </c>
      <c r="B36" s="12" t="inlineStr">
        <is>
          <t>Medium</t>
        </is>
      </c>
      <c r="C36" s="12" t="inlineStr">
        <is>
          <t>Orderful</t>
        </is>
      </c>
      <c r="D36" s="12" t="inlineStr">
        <is>
          <t>Status of historical data in the Orderful UI?</t>
        </is>
      </c>
      <c r="E36" s="12" t="n"/>
      <c r="F36" s="12" t="inlineStr">
        <is>
          <t>Adam</t>
        </is>
      </c>
      <c r="G36" s="12" t="inlineStr">
        <is>
          <t>Uploaded to Orderful Historical Data as 3 zips (files renamed): Park City layouts, 59 flat files, 6 raw 850s.</t>
        </is>
      </c>
      <c r="H36" s="12" t="inlineStr">
        <is>
          <t>Answered</t>
        </is>
      </c>
    </row>
    <row r="37" ht="25" customHeight="1">
      <c r="A37" s="12" t="n">
        <v>33</v>
      </c>
      <c r="B37" s="12" t="inlineStr">
        <is>
          <t>Medium</t>
        </is>
      </c>
      <c r="C37" s="12" t="inlineStr">
        <is>
          <t>Background</t>
        </is>
      </c>
      <c r="D37" s="12" t="inlineStr">
        <is>
          <t>What are parse_pipe_850.py / parse_pcg_fixed.py?</t>
        </is>
      </c>
      <c r="E37" s="12" t="n"/>
      <c r="F37" s="12" t="inlineStr">
        <is>
          <t>Adam</t>
        </is>
      </c>
      <c r="G37" s="12" t="inlineStr">
        <is>
          <t>Adam's own Claude-built scripts (redactor + parser) used to build the mapping templates.</t>
        </is>
      </c>
      <c r="H37" s="12" t="inlineStr">
        <is>
          <t>Answered</t>
        </is>
      </c>
    </row>
  </sheetData>
  <autoFilter ref="A4:H36"/>
  <dataValidations count="1">
    <dataValidation sqref="H5:H36" showDropDown="0" showInputMessage="0" showErrorMessage="0" allowBlank="1" type="list">
      <formula1>"Open,Follow-up,Answered"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zoomScaleNormal="100" workbookViewId="0">
      <selection activeCell="F8" sqref="F8"/>
    </sheetView>
  </sheetViews>
  <sheetFormatPr baseColWidth="8" defaultColWidth="8.6328125" defaultRowHeight="14.5"/>
  <cols>
    <col width="5" customWidth="1" min="1" max="1"/>
    <col width="24" customWidth="1" min="2" max="2"/>
    <col width="84" customWidth="1" min="3" max="3"/>
    <col width="14" customWidth="1" min="4" max="4"/>
    <col width="12" customWidth="1" min="5" max="5"/>
    <col width="22.1796875" customWidth="1" min="6" max="6"/>
  </cols>
  <sheetData>
    <row r="1" ht="18" customHeight="1">
      <c r="A1" s="1" t="inlineStr">
        <is>
          <t>Next Steps</t>
        </is>
      </c>
    </row>
    <row r="2">
      <c r="A2" s="2" t="inlineStr">
        <is>
          <t>From the 10/20 call. Fill in due dates.</t>
        </is>
      </c>
    </row>
    <row r="4" ht="26" customHeight="1">
      <c r="A4" s="35" t="inlineStr">
        <is>
          <t>Internal milestones (Concurrent)</t>
        </is>
      </c>
      <c r="B4" s="36" t="n"/>
      <c r="C4" s="36" t="n"/>
      <c r="D4" s="36" t="n"/>
      <c r="E4" s="36" t="n"/>
      <c r="F4" s="36" t="n"/>
      <c r="G4" s="36" t="n"/>
    </row>
    <row r="5">
      <c r="A5" s="37" t="inlineStr">
        <is>
          <t>#</t>
        </is>
      </c>
      <c r="B5" s="37" t="inlineStr">
        <is>
          <t>Owner</t>
        </is>
      </c>
      <c r="C5" s="37" t="inlineStr">
        <is>
          <t>Milestone</t>
        </is>
      </c>
      <c r="D5" s="37" t="inlineStr">
        <is>
          <t>Target date</t>
        </is>
      </c>
      <c r="E5" s="37" t="inlineStr">
        <is>
          <t>Status</t>
        </is>
      </c>
      <c r="F5" s="37" t="inlineStr">
        <is>
          <t>Depends on</t>
        </is>
      </c>
    </row>
    <row r="6" ht="25" customHeight="1">
      <c r="A6" s="38" t="inlineStr">
        <is>
          <t>M1</t>
        </is>
      </c>
      <c r="B6" s="38" t="inlineStr">
        <is>
          <t>Michel</t>
        </is>
      </c>
      <c r="C6" s="40" t="inlineStr">
        <is>
          <t xml:space="preserve">SFTP server stood up (sandbox first), BizLink connection guide sent. Use Couch for Shedhadey. IW to set up Couch </t>
        </is>
      </c>
      <c r="D6" s="41" t="n">
        <v>46321</v>
      </c>
      <c r="E6" s="39" t="inlineStr">
        <is>
          <t>Not started</t>
        </is>
      </c>
      <c r="F6" s="38" t="inlineStr">
        <is>
          <t>SFTP hosting decision / cost (John)</t>
        </is>
      </c>
    </row>
    <row r="7" ht="50" customHeight="1">
      <c r="A7" s="38" t="inlineStr">
        <is>
          <t>M2</t>
        </is>
      </c>
      <c r="B7" s="38" t="inlineStr">
        <is>
          <t>Mauricio</t>
        </is>
      </c>
      <c r="C7" s="38" t="inlineStr">
        <is>
          <t>First 850 brought from Orderful to the SFTP server in ERMS flat file format</t>
        </is>
      </c>
      <c r="D7" s="39" t="n"/>
      <c r="E7" s="39" t="inlineStr">
        <is>
          <t>Not started</t>
        </is>
      </c>
      <c r="F7" s="38" t="inlineStr">
        <is>
          <t>M1; Costco trade request live in test; Costco raw 850 + flat file pair to confirm mapping</t>
        </is>
      </c>
    </row>
    <row r="8" ht="71.5" customHeight="1">
      <c r="A8" s="38" t="inlineStr">
        <is>
          <t>M3</t>
        </is>
      </c>
      <c r="B8" s="38" t="inlineStr">
        <is>
          <t>Michel + Mauricio</t>
        </is>
      </c>
      <c r="C8" s="38" t="inlineStr">
        <is>
          <t>Tray flows ready for outbound (810, 856) from SFTP to Orderful, and test complete</t>
        </is>
      </c>
      <c r="D8" s="39" t="n"/>
      <c r="E8" s="39" t="inlineStr">
        <is>
          <t>Not started</t>
        </is>
      </c>
      <c r="F8" s="38" t="inlineStr">
        <is>
          <t>M1; BizLink connected by Shehadey; Costco 810/856 sample files</t>
        </is>
      </c>
    </row>
    <row r="9" ht="25" customHeight="1">
      <c r="A9" s="38" t="inlineStr">
        <is>
          <t>M4</t>
        </is>
      </c>
      <c r="B9" s="38" t="inlineStr">
        <is>
          <t>Mark (+ Adam)</t>
        </is>
      </c>
      <c r="C9" s="38" t="inlineStr">
        <is>
          <t>End-to-end UAT-ready data (Costco test orders through ERMS and back)</t>
        </is>
      </c>
      <c r="D9" s="39" t="n"/>
      <c r="E9" s="39" t="inlineStr">
        <is>
          <t>Not started</t>
        </is>
      </c>
      <c r="F9" s="38" t="inlineStr">
        <is>
          <t>M2, M3; Costco test scenario in Orderful</t>
        </is>
      </c>
    </row>
    <row r="10" ht="25" customHeight="1">
      <c r="A10" s="38" t="inlineStr">
        <is>
          <t>M5</t>
        </is>
      </c>
      <c r="B10" s="38" t="inlineStr">
        <is>
          <t>Mark</t>
        </is>
      </c>
      <c r="C10" s="38" t="inlineStr">
        <is>
          <t>Target go-live date (Costco)</t>
        </is>
      </c>
      <c r="D10" s="39" t="n"/>
      <c r="E10" s="39" t="inlineStr">
        <is>
          <t>Not started</t>
        </is>
      </c>
      <c r="F10" s="38" t="inlineStr">
        <is>
          <t>Costco certification; M4 sign-off</t>
        </is>
      </c>
    </row>
    <row r="11">
      <c r="A11" s="38" t="inlineStr">
        <is>
          <t>M6</t>
        </is>
      </c>
      <c r="B11" s="38" t="inlineStr">
        <is>
          <t>Michel</t>
        </is>
      </c>
      <c r="C11" s="38" t="inlineStr">
        <is>
          <t>IHM error-handling flows complete</t>
        </is>
      </c>
      <c r="D11" s="39" t="n"/>
      <c r="E11" s="39" t="inlineStr">
        <is>
          <t>Not started</t>
        </is>
      </c>
      <c r="F11" s="38" t="inlineStr">
        <is>
          <t>Before M5</t>
        </is>
      </c>
    </row>
    <row r="13" ht="37.5" customHeight="1">
      <c r="A13" s="35" t="inlineStr">
        <is>
          <t>Next steps</t>
        </is>
      </c>
      <c r="B13" s="36" t="n"/>
      <c r="C13" s="36" t="n"/>
      <c r="D13" s="36" t="n"/>
      <c r="E13" s="36" t="n"/>
      <c r="F13" s="36" t="n"/>
      <c r="G13" s="36" t="n"/>
    </row>
    <row r="14" ht="26" customHeight="1">
      <c r="A14" s="7" t="inlineStr">
        <is>
          <t>#</t>
        </is>
      </c>
      <c r="B14" s="7" t="inlineStr">
        <is>
          <t>Owner</t>
        </is>
      </c>
      <c r="C14" s="7" t="inlineStr">
        <is>
          <t>Action</t>
        </is>
      </c>
      <c r="D14" s="7" t="inlineStr">
        <is>
          <t>Due date</t>
        </is>
      </c>
      <c r="E14" s="7" t="inlineStr">
        <is>
          <t>Status</t>
        </is>
      </c>
      <c r="F14" s="17" t="inlineStr">
        <is>
          <t>10/22 or after Mark Notes</t>
        </is>
      </c>
      <c r="G14" s="17" t="inlineStr">
        <is>
          <t>Ask Claude</t>
        </is>
      </c>
    </row>
    <row r="15">
      <c r="A15" s="4" t="n">
        <v>1</v>
      </c>
      <c r="B15" s="4" t="inlineStr">
        <is>
          <t>Concurrent (Michel)</t>
        </is>
      </c>
      <c r="C15" s="4" t="inlineStr">
        <is>
          <t>Stand up SFTP with inbound/outbound folders; send connection details and instructions</t>
        </is>
      </c>
      <c r="D15" s="13" t="n"/>
      <c r="E15" s="13" t="inlineStr">
        <is>
          <t>Open</t>
        </is>
      </c>
    </row>
    <row r="16">
      <c r="A16" s="4" t="n">
        <v>2</v>
      </c>
      <c r="B16" s="4" t="inlineStr">
        <is>
          <t>Concurrent (John)</t>
        </is>
      </c>
      <c r="C16" s="4" t="inlineStr">
        <is>
          <t>Confirm SFTP hosting cost internally</t>
        </is>
      </c>
      <c r="D16" s="13" t="n"/>
      <c r="E16" s="13" t="inlineStr">
        <is>
          <t>Open</t>
        </is>
      </c>
    </row>
    <row r="17">
      <c r="A17" s="4" t="n">
        <v>3</v>
      </c>
      <c r="B17" s="4" t="inlineStr">
        <is>
          <t>Concurrent (Mark)</t>
        </is>
      </c>
      <c r="C17" s="4" t="inlineStr">
        <is>
          <t>Push trade requests (mass upload) with new Orderful ISA, Costco first</t>
        </is>
      </c>
      <c r="D17" s="13" t="n"/>
      <c r="E17" s="13" t="inlineStr">
        <is>
          <t>In progress</t>
        </is>
      </c>
      <c r="F17" t="inlineStr">
        <is>
          <t>10/26: Costco trade request 220507 created via Orderful (Shehadey ORDFLSHEHAFOODS → Costco COSTCOEDIUSA; type New; outreach skipped; status Pending requirements). Mass upload for other partners still pending.
10/27 OA: setting up program, 5 guidelines, scenarios on 220507; authorization received; vendor # pending from Shehadey (needed before testing).</t>
        </is>
      </c>
    </row>
    <row r="18" ht="50" customHeight="1">
      <c r="A18" s="4" t="n">
        <v>4</v>
      </c>
      <c r="B18" s="4" t="inlineStr">
        <is>
          <t>Concurrent (Mark)</t>
        </is>
      </c>
      <c r="C18" s="34" t="inlineStr">
        <is>
          <t>Log in to Aptean (credential vault) and pull Costco raw 850s matching the NCS flat files</t>
        </is>
      </c>
      <c r="D18" s="13" t="n"/>
      <c r="E18" s="13" t="inlineStr">
        <is>
          <t>In progress</t>
        </is>
      </c>
      <c r="F18" s="16" t="inlineStr">
        <is>
          <t>Aptean credentails not working (URL seems wrong), must follow up with Adam</t>
        </is>
      </c>
    </row>
    <row r="19" ht="37.5" customHeight="1">
      <c r="A19" s="4" t="n">
        <v>5</v>
      </c>
      <c r="B19" s="4" t="inlineStr">
        <is>
          <t>Concurrent (Mark: project/epics · Michel: technical tickets)</t>
        </is>
      </c>
      <c r="C19" s="4" t="inlineStr">
        <is>
          <t>Create Jira tracking: Mark sets up the project, epics per milestone, and PM tasks; Michel breaks the build into technical tickets and keeps them current</t>
        </is>
      </c>
      <c r="D19" s="13" t="n"/>
      <c r="E19" s="13" t="inlineStr">
        <is>
          <t>Open</t>
        </is>
      </c>
    </row>
    <row r="20" ht="25" customHeight="1">
      <c r="A20" s="4" t="n">
        <v>6</v>
      </c>
      <c r="B20" s="4" t="inlineStr">
        <is>
          <t>Concurrent (Michel)</t>
        </is>
      </c>
      <c r="C20" s="4" t="inlineStr">
        <is>
          <t>Build IHM error-handling flows: alerts for failed translations, missing required fields, cross-reference misses, and files not picked up (ERMS fails silently today)</t>
        </is>
      </c>
      <c r="D20" s="13" t="n"/>
      <c r="E20" s="13" t="inlineStr">
        <is>
          <t>Open</t>
        </is>
      </c>
    </row>
    <row r="21" ht="25" customHeight="1">
      <c r="A21" s="4" t="n">
        <v>7</v>
      </c>
      <c r="B21" s="4" t="inlineStr">
        <is>
          <t>Concurrent (John + Claude)</t>
        </is>
      </c>
      <c r="C21" s="4" t="inlineStr">
        <is>
          <t>Confirm inferred rows in the Costco mapping workbook against Costco pairs and Orderful guidelines; send questions to Adam</t>
        </is>
      </c>
      <c r="D21" s="13" t="n"/>
      <c r="E21" s="13" t="inlineStr">
        <is>
          <t>Open</t>
        </is>
      </c>
    </row>
    <row r="22" ht="25" customHeight="1">
      <c r="A22" s="4" t="n">
        <v>8</v>
      </c>
      <c r="B22" s="4" t="inlineStr">
        <is>
          <t>Concurrent (Mark)</t>
        </is>
      </c>
      <c r="C22" s="4" t="inlineStr">
        <is>
          <t>Set up WebEDI for Costco 856s (Park City plants); hardcode SCAC</t>
        </is>
      </c>
      <c r="D22" s="13" t="n"/>
      <c r="E22" s="13" t="inlineStr">
        <is>
          <t>Open</t>
        </is>
      </c>
      <c r="F22" s="16" t="inlineStr">
        <is>
          <t xml:space="preserve">How to test the Web EDI set up? </t>
        </is>
      </c>
    </row>
    <row r="23" ht="25" customHeight="1">
      <c r="A23" s="4" t="n">
        <v>9</v>
      </c>
      <c r="B23" s="4" t="inlineStr">
        <is>
          <t>Concurrent (Mark)</t>
        </is>
      </c>
      <c r="C23" s="4" t="inlineStr">
        <is>
          <t>Configure 852 receipt with 997 (no ERMS file) in Orderful</t>
        </is>
      </c>
      <c r="D23" s="13" t="n"/>
      <c r="E23" s="13" t="inlineStr">
        <is>
          <t>Open</t>
        </is>
      </c>
      <c r="F23" t="inlineStr">
        <is>
          <t>10/26: 852 source ISA unclear (inventory shows 103391843VMI, not in Orderful). Asked Anu which Costco account sends 852s.</t>
        </is>
      </c>
    </row>
    <row r="24" ht="37.5" customHeight="1">
      <c r="A24" s="4" t="n">
        <v>10</v>
      </c>
      <c r="B24" s="4" t="inlineStr">
        <is>
          <t>Shehadey (Adam)</t>
        </is>
      </c>
      <c r="C24" s="4" t="inlineStr">
        <is>
          <t>Contact Park City / ReposiTrak about an AS2 copy of the 850 (or 852) to Orderful</t>
        </is>
      </c>
      <c r="D24" s="13" t="n"/>
      <c r="E24" s="13" t="inlineStr">
        <is>
          <t>Open</t>
        </is>
      </c>
      <c r="F24" s="16" t="inlineStr">
        <is>
          <t>Kelly asked for a meeting with Adam to scope this request</t>
        </is>
      </c>
    </row>
    <row r="25" ht="37.5" customHeight="1">
      <c r="A25" s="4" t="n">
        <v>11</v>
      </c>
      <c r="B25" s="4" t="inlineStr">
        <is>
          <t>Shehadey (Adam)</t>
        </is>
      </c>
      <c r="C25" s="4" t="inlineStr">
        <is>
          <t>Create current-state document / flow chart: Umpqua-Costco-SPS path, Park City path, gaps</t>
        </is>
      </c>
      <c r="D25" s="13" t="n"/>
      <c r="E25" s="13" t="inlineStr">
        <is>
          <t>Open</t>
        </is>
      </c>
    </row>
    <row r="26" ht="37.5" customHeight="1">
      <c r="A26" s="4" t="n">
        <v>12</v>
      </c>
      <c r="B26" s="4" t="inlineStr">
        <is>
          <t>Shehadey (Adam)</t>
        </is>
      </c>
      <c r="C26" s="4" t="inlineStr">
        <is>
          <t>Send the Park City translation document and the raw 850 behind the mapped flat file</t>
        </is>
      </c>
      <c r="D26" s="13" t="n"/>
      <c r="E26" s="13" t="inlineStr">
        <is>
          <t>Open</t>
        </is>
      </c>
    </row>
    <row r="27" ht="25" customHeight="1">
      <c r="A27" s="4" t="n">
        <v>13</v>
      </c>
      <c r="B27" s="4" t="inlineStr">
        <is>
          <t>Shehadey (Adam)</t>
        </is>
      </c>
      <c r="C27" s="4" t="inlineStr">
        <is>
          <t>Send the ERMS cross-reference table and the 'IN 810 file layout' doc</t>
        </is>
      </c>
      <c r="D27" s="13" t="n"/>
      <c r="E27" s="13" t="inlineStr">
        <is>
          <t>Open</t>
        </is>
      </c>
    </row>
    <row r="28">
      <c r="A28" s="4" t="n">
        <v>14</v>
      </c>
      <c r="B28" s="4" t="inlineStr">
        <is>
          <t>Shehadey (Adam + Narvel)</t>
        </is>
      </c>
      <c r="C28" s="4" t="inlineStr">
        <is>
          <t>Connect BizLink to the Concurrent SFTP once ready</t>
        </is>
      </c>
      <c r="D28" s="13" t="n"/>
      <c r="E28" s="13" t="inlineStr">
        <is>
          <t>Open</t>
        </is>
      </c>
    </row>
    <row r="29">
      <c r="A29" s="4" t="n">
        <v>15</v>
      </c>
      <c r="B29" s="4" t="inlineStr">
        <is>
          <t>Shehadey (Adam)</t>
        </is>
      </c>
      <c r="C29" s="4" t="inlineStr">
        <is>
          <t>Confirm Costco certification status and go-live date</t>
        </is>
      </c>
      <c r="D29" s="13" t="n"/>
      <c r="E29" s="13" t="inlineStr">
        <is>
          <t>Open</t>
        </is>
      </c>
    </row>
    <row r="30">
      <c r="A30" s="4" t="n">
        <v>16</v>
      </c>
      <c r="B30" s="4" t="inlineStr">
        <is>
          <t>Orderful</t>
        </is>
      </c>
      <c r="C30" s="4" t="inlineStr">
        <is>
          <t>Confirm support for UCS doc types, version 4030, and clearinghouse routing</t>
        </is>
      </c>
      <c r="D30" s="13" t="n"/>
      <c r="E30" s="13" t="inlineStr">
        <is>
          <t>Open</t>
        </is>
      </c>
    </row>
    <row r="31" ht="25" customHeight="1">
      <c r="A31" s="4" t="n">
        <v>17</v>
      </c>
      <c r="B31" s="4" t="inlineStr">
        <is>
          <t>Concurrent (Mark)</t>
        </is>
      </c>
      <c r="C31" s="4" t="inlineStr">
        <is>
          <t>Forward Adam's 810/856 email (received)</t>
        </is>
      </c>
      <c r="D31" s="13" t="n"/>
      <c r="E31" s="13" t="inlineStr">
        <is>
          <t>Done</t>
        </is>
      </c>
    </row>
    <row r="32" ht="50" customHeight="1">
      <c r="A32" s="4" t="n">
        <v>18</v>
      </c>
      <c r="B32" s="4" t="inlineStr">
        <is>
          <t>Orderful (Anu)</t>
        </is>
      </c>
      <c r="C32" s="4" t="inlineStr">
        <is>
          <t>Review trade request 220507 requirements; confirm the Costco scenario covers 850, 860, 810, 997; trigger outreach to Costco when ready</t>
        </is>
      </c>
      <c r="D32" s="13" t="n"/>
      <c r="E32" s="13" t="inlineStr">
        <is>
          <t>Open</t>
        </is>
      </c>
      <c r="F32" t="inlineStr">
        <is>
          <t>10/27: handled via Orderful Onboarding Agent (task 01a178b2). Costco testing in SPS portal covers 810/824/850/856/860/997; 820 untested, on after go-live.</t>
        </is>
      </c>
    </row>
    <row r="33" ht="37.5" customHeight="1">
      <c r="A33" s="4" t="n">
        <v>19</v>
      </c>
      <c r="B33" s="4" t="inlineStr">
        <is>
          <t>Orderful (Anu)</t>
        </is>
      </c>
      <c r="C33" s="4" t="inlineStr">
        <is>
          <t>Confirm which Costco account sends the 852; add the 852 (accept + 997 only) to the right scenario or create a second trade request</t>
        </is>
      </c>
      <c r="D33" s="13" t="n"/>
      <c r="E33" s="13" t="inlineStr">
        <is>
          <t>Open</t>
        </is>
      </c>
    </row>
    <row r="34" ht="25" customHeight="1">
      <c r="A34" s="4" t="n">
        <v>20</v>
      </c>
      <c r="B34" s="4" t="inlineStr">
        <is>
          <t>Concurrent (Mark)</t>
        </is>
      </c>
      <c r="C34" s="4" t="inlineStr">
        <is>
          <t>Create the COSTCOMASN (856) trade request once the Costco ASN approach is settled</t>
        </is>
      </c>
      <c r="D34" s="13" t="n"/>
      <c r="E34" s="13" t="inlineStr">
        <is>
          <t>Open</t>
        </is>
      </c>
      <c r="F34" t="inlineStr">
        <is>
          <t>10/27: asked Anu to create COSTCOMASN (856) and 103391843VMI (852) requests. OA confirms 856 step goes on COSTCOMASN.</t>
        </is>
      </c>
    </row>
    <row r="35" ht="25" customHeight="1">
      <c r="A35" s="4" t="n">
        <v>21</v>
      </c>
      <c r="B35" s="4" t="inlineStr">
        <is>
          <t>Concurrent (Michel + Mauricio)</t>
        </is>
      </c>
      <c r="C35" s="4" t="inlineStr">
        <is>
          <t>Build Tray workflows — Inbound: Orderful 850 (JSON) → ERMS pipe-delimited flat file → SFTP inbound folder. Outbound: SFTP outbound 810/856 flat files → Orderful JSON → Orderful API. Shared: polling, batch splitting (HDR…TOT), archive and error folders</t>
        </is>
      </c>
      <c r="D35" s="13" t="n"/>
      <c r="E35" s="13" t="inlineStr">
        <is>
          <t>Open</t>
        </is>
      </c>
    </row>
    <row r="36">
      <c r="A36" s="46" t="n">
        <v>22</v>
      </c>
      <c r="B36" s="46" t="inlineStr">
        <is>
          <t>Concurrent (Mark + Anu)</t>
        </is>
      </c>
      <c r="C36" s="46" t="inlineStr">
        <is>
          <t>Move the Costco 856 to COSTCOMASN: create the COSTCOMASN trade request; the 856 is currently on the 220507 (COSTCOEDIUSA) relationship</t>
        </is>
      </c>
      <c r="D36" s="47" t="n"/>
      <c r="E36" s="47" t="inlineStr">
        <is>
          <t>Open</t>
        </is>
      </c>
      <c r="F36" s="48" t="inlineStr">
        <is>
          <t>10/28: Michel should not treat the COSTCOEDIUSA 856 relationship as final.</t>
        </is>
      </c>
    </row>
    <row r="37">
      <c r="A37" s="46" t="n">
        <v>23</v>
      </c>
      <c r="B37" s="46" t="inlineStr">
        <is>
          <t>Concurrent (Mark)</t>
        </is>
      </c>
      <c r="C37" s="46" t="inlineStr">
        <is>
          <t>Ask the Orderful Onboarding Agent to rebuild the Costco 810 Mosaic transformation against the current 810 guideline (240460); it was built from archived 218697</t>
        </is>
      </c>
      <c r="D37" s="47" t="n"/>
      <c r="E37" s="47" t="inlineStr">
        <is>
          <t>Open</t>
        </is>
      </c>
      <c r="F37" s="48" t="inlineStr">
        <is>
          <t>10/28: found via MCP review of relationship 287882.</t>
        </is>
      </c>
    </row>
  </sheetData>
  <autoFilter ref="A14:G35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44" customWidth="1" min="2" max="2"/>
    <col width="52" customWidth="1" min="3" max="3"/>
    <col width="26" customWidth="1" min="4" max="4"/>
    <col width="14" customWidth="1" min="5" max="5"/>
    <col width="12" customWidth="1" min="6" max="6"/>
  </cols>
  <sheetData>
    <row r="1" ht="18" customHeight="1">
      <c r="A1" s="1" t="inlineStr">
        <is>
          <t>Blockers</t>
        </is>
      </c>
    </row>
    <row r="2">
      <c r="A2" s="2" t="inlineStr">
        <is>
          <t>What's holding the project up, and who clears it.</t>
        </is>
      </c>
    </row>
    <row r="4">
      <c r="A4" s="7" t="inlineStr">
        <is>
          <t>#</t>
        </is>
      </c>
      <c r="B4" s="7" t="inlineStr">
        <is>
          <t>Blocker</t>
        </is>
      </c>
      <c r="C4" s="7" t="inlineStr">
        <is>
          <t>Impact</t>
        </is>
      </c>
      <c r="D4" s="7" t="inlineStr">
        <is>
          <t>Owner to clear</t>
        </is>
      </c>
      <c r="E4" s="7" t="inlineStr">
        <is>
          <t>Target date</t>
        </is>
      </c>
      <c r="F4" s="7" t="inlineStr">
        <is>
          <t>Status</t>
        </is>
      </c>
    </row>
    <row r="5">
      <c r="A5" s="4" t="n">
        <v>1</v>
      </c>
      <c r="B5" s="4" t="inlineStr">
        <is>
          <t>SFTP not yet provisioned</t>
        </is>
      </c>
      <c r="C5" s="4" t="inlineStr">
        <is>
          <t>No BizLink connectivity or end-to-end testing</t>
        </is>
      </c>
      <c r="D5" s="4" t="inlineStr">
        <is>
          <t>Concurrent (John)</t>
        </is>
      </c>
      <c r="E5" s="13" t="n"/>
      <c r="F5" s="13" t="inlineStr">
        <is>
          <t>Open</t>
        </is>
      </c>
    </row>
    <row r="6">
      <c r="A6" s="4" t="n">
        <v>2</v>
      </c>
      <c r="B6" s="4" t="inlineStr">
        <is>
          <t>No Costco raw 850 + matching flat file</t>
        </is>
      </c>
      <c r="C6" s="4" t="inlineStr">
        <is>
          <t>850 mapping can't be fully verified</t>
        </is>
      </c>
      <c r="D6" s="4" t="inlineStr">
        <is>
          <t>Mark (Aptean) / Adam</t>
        </is>
      </c>
      <c r="E6" s="13" t="n"/>
      <c r="F6" s="13" t="inlineStr">
        <is>
          <t>Open</t>
        </is>
      </c>
    </row>
    <row r="7">
      <c r="A7" s="4" t="n">
        <v>3</v>
      </c>
      <c r="B7" s="4" t="inlineStr">
        <is>
          <t>No 850 in Orderful for Park City Costco orders</t>
        </is>
      </c>
      <c r="C7" s="4" t="inlineStr">
        <is>
          <t>WebEDI can't build 856s for Fairfield/Model</t>
        </is>
      </c>
      <c r="D7" s="4" t="inlineStr">
        <is>
          <t>Adam (ReposiTrak AS2)</t>
        </is>
      </c>
      <c r="E7" s="13" t="n"/>
      <c r="F7" s="13" t="inlineStr">
        <is>
          <t>Open</t>
        </is>
      </c>
    </row>
    <row r="8">
      <c r="A8" s="4" t="n">
        <v>4</v>
      </c>
      <c r="B8" s="4" t="inlineStr">
        <is>
          <t>Costco certification and go-live date unknown</t>
        </is>
      </c>
      <c r="C8" s="4" t="inlineStr">
        <is>
          <t>Timeline can't be set</t>
        </is>
      </c>
      <c r="D8" s="4" t="inlineStr">
        <is>
          <t>Adam</t>
        </is>
      </c>
      <c r="E8" s="13" t="n"/>
      <c r="F8" s="13" t="inlineStr">
        <is>
          <t>Open</t>
        </is>
      </c>
    </row>
    <row r="9">
      <c r="A9" s="4" t="n">
        <v>5</v>
      </c>
      <c r="B9" s="4" t="inlineStr">
        <is>
          <t>ERMS cross-reference table not received</t>
        </is>
      </c>
      <c r="C9" s="4" t="inlineStr">
        <is>
          <t>Can't validate files before sending</t>
        </is>
      </c>
      <c r="D9" s="4" t="inlineStr">
        <is>
          <t>Adam</t>
        </is>
      </c>
      <c r="E9" s="13" t="n"/>
      <c r="F9" s="13" t="inlineStr">
        <is>
          <t>Open</t>
        </is>
      </c>
    </row>
    <row r="10">
      <c r="A10" s="4" t="n">
        <v>6</v>
      </c>
      <c r="B10" s="4" t="inlineStr">
        <is>
          <t>Umpqua 856 lacks SSCC data</t>
        </is>
      </c>
      <c r="C10" s="4" t="inlineStr">
        <is>
          <t>Automated Costco 856 may not pass</t>
        </is>
      </c>
      <c r="D10" s="4" t="inlineStr">
        <is>
          <t>Adam</t>
        </is>
      </c>
      <c r="E10" s="13" t="n"/>
      <c r="F10" s="13" t="inlineStr">
        <is>
          <t>Open</t>
        </is>
      </c>
    </row>
    <row r="11">
      <c r="A11" s="4" t="n">
        <v>7</v>
      </c>
      <c r="B11" s="4" t="inlineStr">
        <is>
          <t>Field-level required fields unknown</t>
        </is>
      </c>
      <c r="C11" s="4" t="inlineStr">
        <is>
          <t>Risk of ERMS silently dropping files</t>
        </is>
      </c>
      <c r="D11" s="4" t="inlineStr">
        <is>
          <t>Adam</t>
        </is>
      </c>
      <c r="E11" s="13" t="n"/>
      <c r="F11" s="13" t="inlineStr">
        <is>
          <t>Open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Normal="100" workbookViewId="0">
      <pane ySplit="4" topLeftCell="A5" activePane="bottomLeft" state="frozen"/>
      <selection pane="bottomLeft" activeCell="C22" sqref="C22"/>
    </sheetView>
  </sheetViews>
  <sheetFormatPr baseColWidth="8" defaultColWidth="8.6328125" defaultRowHeight="14.5"/>
  <cols>
    <col width="5" customWidth="1" min="1" max="1"/>
    <col width="16" customWidth="1" min="2" max="2"/>
    <col width="80" customWidth="1" min="3" max="3"/>
    <col width="20" customWidth="1" min="4" max="4"/>
  </cols>
  <sheetData>
    <row r="1" ht="18" customHeight="1">
      <c r="A1" s="1" t="inlineStr">
        <is>
          <t>What a Usable Flat File Spec Must Include</t>
        </is>
      </c>
    </row>
    <row r="2">
      <c r="A2" s="2" t="inlineStr">
        <is>
          <t>Adam's mapping templates are being used as the spec; this checklist shows what's still missing.</t>
        </is>
      </c>
    </row>
    <row r="4" ht="26" customHeight="1">
      <c r="A4" s="7" t="inlineStr">
        <is>
          <t>#</t>
        </is>
      </c>
      <c r="B4" s="7" t="inlineStr">
        <is>
          <t>Area</t>
        </is>
      </c>
      <c r="C4" s="7" t="inlineStr">
        <is>
          <t>Requirement</t>
        </is>
      </c>
      <c r="D4" s="7" t="inlineStr">
        <is>
          <t>Covered? (Y/N/Partial)</t>
        </is>
      </c>
    </row>
    <row r="5">
      <c r="A5" s="4" t="n">
        <v>1</v>
      </c>
      <c r="B5" s="4" t="inlineStr">
        <is>
          <t>Scope</t>
        </is>
      </c>
      <c r="C5" s="4" t="inlineStr">
        <is>
          <t>One spec per document type and direction, per system</t>
        </is>
      </c>
      <c r="D5" s="4" t="inlineStr">
        <is>
          <t>Y</t>
        </is>
      </c>
    </row>
    <row r="6">
      <c r="A6" s="4" t="n">
        <v>2</v>
      </c>
      <c r="B6" s="4" t="inlineStr">
        <is>
          <t>File structure</t>
        </is>
      </c>
      <c r="C6" s="4" t="inlineStr">
        <is>
          <t>Record types, order, which repeat</t>
        </is>
      </c>
      <c r="D6" s="4" t="inlineStr">
        <is>
          <t>Y</t>
        </is>
      </c>
    </row>
    <row r="7">
      <c r="A7" s="4" t="n">
        <v>3</v>
      </c>
      <c r="B7" s="4" t="inlineStr">
        <is>
          <t>File structure</t>
        </is>
      </c>
      <c r="C7" s="4" t="inlineStr">
        <is>
          <t>Delimiter or fixed positions; line endings; encoding</t>
        </is>
      </c>
      <c r="D7" s="4" t="inlineStr">
        <is>
          <t>Y</t>
        </is>
      </c>
    </row>
    <row r="8">
      <c r="A8" s="4" t="n">
        <v>4</v>
      </c>
      <c r="B8" s="4" t="inlineStr">
        <is>
          <t>File structure</t>
        </is>
      </c>
      <c r="C8" s="4" t="inlineStr">
        <is>
          <t>One order per file or many</t>
        </is>
      </c>
      <c r="D8" s="4" t="inlineStr">
        <is>
          <t>Y</t>
        </is>
      </c>
    </row>
    <row r="9">
      <c r="A9" s="4" t="n">
        <v>5</v>
      </c>
      <c r="B9" s="4" t="inlineStr">
        <is>
          <t>Fields</t>
        </is>
      </c>
      <c r="C9" s="4" t="inlineStr">
        <is>
          <t>Every field by record and position, name, description</t>
        </is>
      </c>
      <c r="D9" s="4" t="inlineStr">
        <is>
          <t>Partial</t>
        </is>
      </c>
    </row>
    <row r="10">
      <c r="A10" s="4" t="n">
        <v>6</v>
      </c>
      <c r="B10" s="4" t="inlineStr">
        <is>
          <t>Fields</t>
        </is>
      </c>
      <c r="C10" s="4" t="inlineStr">
        <is>
          <t>Data type and length</t>
        </is>
      </c>
      <c r="D10" s="4" t="inlineStr">
        <is>
          <t>Partial</t>
        </is>
      </c>
    </row>
    <row r="11">
      <c r="A11" s="4" t="n">
        <v>7</v>
      </c>
      <c r="B11" s="4" t="inlineStr">
        <is>
          <t>Fields</t>
        </is>
      </c>
      <c r="C11" s="4" t="inlineStr">
        <is>
          <t>Required / optional / conditional</t>
        </is>
      </c>
      <c r="D11" s="4" t="inlineStr">
        <is>
          <t>N</t>
        </is>
      </c>
    </row>
    <row r="12">
      <c r="A12" s="4" t="n">
        <v>8</v>
      </c>
      <c r="B12" s="4" t="inlineStr">
        <is>
          <t>Fields</t>
        </is>
      </c>
      <c r="C12" s="4" t="inlineStr">
        <is>
          <t>Formats: dates, decimals, padding</t>
        </is>
      </c>
      <c r="D12" s="4" t="inlineStr">
        <is>
          <t>Partial</t>
        </is>
      </c>
    </row>
    <row r="13">
      <c r="A13" s="4" t="n">
        <v>9</v>
      </c>
      <c r="B13" s="4" t="inlineStr">
        <is>
          <t>Fields</t>
        </is>
      </c>
      <c r="C13" s="4" t="inlineStr">
        <is>
          <t>Valid code values</t>
        </is>
      </c>
      <c r="D13" s="4" t="inlineStr">
        <is>
          <t>Partial</t>
        </is>
      </c>
    </row>
    <row r="14">
      <c r="A14" s="4" t="n">
        <v>10</v>
      </c>
      <c r="B14" s="4" t="inlineStr">
        <is>
          <t>Fields</t>
        </is>
      </c>
      <c r="C14" s="4" t="inlineStr">
        <is>
          <t>Which fields ERMS checks against the cross-reference table</t>
        </is>
      </c>
      <c r="D14" s="4" t="inlineStr">
        <is>
          <t>N</t>
        </is>
      </c>
    </row>
    <row r="15">
      <c r="A15" s="4" t="n">
        <v>11</v>
      </c>
      <c r="B15" s="4" t="inlineStr">
        <is>
          <t>Behavior</t>
        </is>
      </c>
      <c r="C15" s="4" t="inlineStr">
        <is>
          <t>Error handling</t>
        </is>
      </c>
      <c r="D15" s="4" t="inlineStr">
        <is>
          <t>Partial</t>
        </is>
      </c>
    </row>
    <row r="16">
      <c r="A16" s="4" t="n">
        <v>12</v>
      </c>
      <c r="B16" s="4" t="inlineStr">
        <is>
          <t>Behavior</t>
        </is>
      </c>
      <c r="C16" s="4" t="inlineStr">
        <is>
          <t>How the plant is identified</t>
        </is>
      </c>
      <c r="D16" s="4" t="inlineStr">
        <is>
          <t>Partial</t>
        </is>
      </c>
    </row>
    <row r="17">
      <c r="A17" s="4" t="n">
        <v>13</v>
      </c>
      <c r="B17" s="4" t="inlineStr">
        <is>
          <t>Behavior</t>
        </is>
      </c>
      <c r="C17" s="4" t="inlineStr">
        <is>
          <t>Partner-specific variations</t>
        </is>
      </c>
      <c r="D17" s="4" t="inlineStr">
        <is>
          <t>Partial</t>
        </is>
      </c>
    </row>
    <row r="18">
      <c r="A18" s="4" t="n">
        <v>14</v>
      </c>
      <c r="B18" s="4" t="inlineStr">
        <is>
          <t>Delivery</t>
        </is>
      </c>
      <c r="C18" s="4" t="inlineStr">
        <is>
          <t>File naming and folders</t>
        </is>
      </c>
      <c r="D18" s="4" t="inlineStr">
        <is>
          <t>Partial</t>
        </is>
      </c>
    </row>
    <row r="19">
      <c r="A19" s="4" t="n">
        <v>15</v>
      </c>
      <c r="B19" s="4" t="inlineStr">
        <is>
          <t>Samples</t>
        </is>
      </c>
      <c r="C19" s="4" t="inlineStr">
        <is>
          <t>Raw EDI + matching flat file per document type</t>
        </is>
      </c>
      <c r="D19" s="4" t="inlineStr">
        <is>
          <t>Partial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Normal="100" workbookViewId="0">
      <pane ySplit="4" topLeftCell="A5" activePane="bottomLeft" state="frozen"/>
      <selection pane="bottomLeft" activeCell="B35" sqref="B35"/>
    </sheetView>
  </sheetViews>
  <sheetFormatPr baseColWidth="8" defaultColWidth="8.6328125" defaultRowHeight="14.5"/>
  <cols>
    <col width="5" customWidth="1" min="1" max="1"/>
    <col width="100" customWidth="1" min="2" max="2"/>
  </cols>
  <sheetData>
    <row r="1" ht="18" customHeight="1">
      <c r="A1" s="1" t="inlineStr">
        <is>
          <t>Parked for the Mapping Call</t>
        </is>
      </c>
    </row>
    <row r="2">
      <c r="A2" s="2" t="inlineStr">
        <is>
          <t>Line-level questions now tracked in specs/&lt;doc&gt;/questions.md and the mapping workbook.</t>
        </is>
      </c>
    </row>
    <row r="4">
      <c r="A4" s="7" t="inlineStr">
        <is>
          <t>#</t>
        </is>
      </c>
      <c r="B4" s="7" t="inlineStr">
        <is>
          <t>Question</t>
        </is>
      </c>
    </row>
    <row r="5">
      <c r="A5" s="4" t="n">
        <v>1</v>
      </c>
      <c r="B5" s="4" t="inlineStr">
        <is>
          <t>HDR 8–10, 12–20, 35–38 (850): unused?</t>
        </is>
      </c>
    </row>
    <row r="6">
      <c r="A6" s="4" t="n">
        <v>2</v>
      </c>
      <c r="B6" s="4" t="inlineStr">
        <is>
          <t>LDT 26 (850): what is the 0?</t>
        </is>
      </c>
    </row>
    <row r="7">
      <c r="A7" s="4" t="n">
        <v>3</v>
      </c>
      <c r="B7" s="4" t="inlineStr">
        <is>
          <t>UOM code list beyond CA/EA</t>
        </is>
      </c>
    </row>
    <row r="8">
      <c r="A8" s="4" t="n">
        <v>4</v>
      </c>
      <c r="B8" s="4" t="inlineStr">
        <is>
          <t>Allowance rate basis (per case vs per unit) from ERMS note table</t>
        </is>
      </c>
    </row>
    <row r="9">
      <c r="A9" s="4" t="n">
        <v>5</v>
      </c>
      <c r="B9" s="4" t="inlineStr">
        <is>
          <t>HCM: all partner notes and legal text into HCM?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topLeftCell="A7" workbookViewId="0">
      <selection activeCell="A20" sqref="A20:XFD20"/>
    </sheetView>
  </sheetViews>
  <sheetFormatPr baseColWidth="8" defaultRowHeight="14.5"/>
  <cols>
    <col width="6" customWidth="1" min="1" max="1"/>
    <col width="22" customWidth="1" min="2" max="2"/>
    <col width="66" customWidth="1" min="3" max="3"/>
    <col width="48" customWidth="1" min="4" max="4"/>
    <col width="12" customWidth="1" min="5" max="5"/>
    <col width="10" customWidth="1" min="6" max="6"/>
    <col width="18.54296875" customWidth="1" min="7" max="7"/>
  </cols>
  <sheetData>
    <row r="1" ht="18" customHeight="1">
      <c r="A1" s="18" t="inlineStr">
        <is>
          <t>Shehadey Foods — Internal Team Call (Concurrent)</t>
        </is>
      </c>
    </row>
    <row r="2">
      <c r="A2" s="19" t="inlineStr">
        <is>
          <t>Mark (PM) · John Weathers (sales) · Michel (engineer) · Mauricio (dev). Goal: agree who builds what for the Costco go-live.</t>
        </is>
      </c>
    </row>
    <row r="4">
      <c r="A4" s="20" t="inlineStr">
        <is>
          <t>Agenda (30 min)</t>
        </is>
      </c>
      <c r="B4" s="21" t="n"/>
      <c r="C4" s="21" t="n"/>
      <c r="D4" s="21" t="n"/>
      <c r="E4" s="21" t="n"/>
      <c r="F4" s="21" t="n"/>
    </row>
    <row r="5">
      <c r="A5" s="22" t="inlineStr">
        <is>
          <t>#</t>
        </is>
      </c>
      <c r="B5" s="22" t="inlineStr">
        <is>
          <t>Topic</t>
        </is>
      </c>
      <c r="C5" s="22" t="inlineStr">
        <is>
          <t>Lead</t>
        </is>
      </c>
      <c r="D5" s="22" t="inlineStr">
        <is>
          <t>Notes</t>
        </is>
      </c>
      <c r="E5" s="22" t="inlineStr">
        <is>
          <t>Notes</t>
        </is>
      </c>
      <c r="F5" s="22" t="inlineStr">
        <is>
          <t>Notes</t>
        </is>
      </c>
      <c r="G5" s="22" t="inlineStr">
        <is>
          <t xml:space="preserve">Mark Comments </t>
        </is>
      </c>
    </row>
    <row r="6" ht="37.5" customHeight="1">
      <c r="A6" s="23" t="n">
        <v>1</v>
      </c>
      <c r="B6" s="23" t="inlineStr">
        <is>
          <t>Where we are</t>
        </is>
      </c>
      <c r="C6" s="23" t="inlineStr">
        <is>
          <t>Mark</t>
        </is>
      </c>
      <c r="D6" s="23" t="inlineStr">
        <is>
          <t>Decisions from 10/20: Concurrent hosts SFTP, new Orderful ISA, Park City stays as-is, Costco first. Mapping drafts: 850 89%, 810 86%, 856 75%.</t>
        </is>
      </c>
      <c r="E6" s="23" t="n"/>
      <c r="F6" s="23" t="n"/>
      <c r="G6" s="30" t="inlineStr">
        <is>
          <t xml:space="preserve">Completed last call </t>
        </is>
      </c>
    </row>
    <row r="7" ht="37.5" customHeight="1">
      <c r="A7" s="23" t="n">
        <v>2</v>
      </c>
      <c r="B7" s="23" t="inlineStr">
        <is>
          <t>Commercial check</t>
        </is>
      </c>
      <c r="C7" s="23" t="inlineStr">
        <is>
          <t>John</t>
        </is>
      </c>
      <c r="D7" s="27" t="inlineStr">
        <is>
          <t>SFTP hosting cost; scope vs priced doc types (17 in use vs ~7 priced); Park City out of scope; WebEDI is manual for Fairfield/Model.</t>
        </is>
      </c>
      <c r="E7" s="23" t="n"/>
      <c r="F7" s="23" t="n"/>
    </row>
    <row r="8" ht="25" customHeight="1">
      <c r="A8" s="23" t="n">
        <v>3</v>
      </c>
      <c r="B8" s="23" t="inlineStr">
        <is>
          <t>Build plan and estimates</t>
        </is>
      </c>
      <c r="C8" s="23" t="inlineStr">
        <is>
          <t>Michel / Mauricio</t>
        </is>
      </c>
      <c r="D8" s="26" t="inlineStr">
        <is>
          <t>Tray workflows, SFTP, and the three Costco maps. What can be ready for Costco go-live?</t>
        </is>
      </c>
      <c r="E8" s="23" t="n"/>
      <c r="F8" s="23" t="n"/>
    </row>
    <row r="9" ht="25" customHeight="1">
      <c r="A9" s="23" t="n">
        <v>4</v>
      </c>
      <c r="B9" s="23" t="inlineStr">
        <is>
          <t>Blockers we can clear ourselves</t>
        </is>
      </c>
      <c r="C9" s="23" t="inlineStr">
        <is>
          <t>Mark</t>
        </is>
      </c>
      <c r="D9" s="23" t="inlineStr">
        <is>
          <t>Aptean login, ReposiTrak meeting, WebEDI test approach.</t>
        </is>
      </c>
      <c r="E9" s="23" t="n"/>
      <c r="F9" s="23" t="n"/>
    </row>
    <row r="10">
      <c r="A10" s="23" t="n">
        <v>5</v>
      </c>
      <c r="B10" s="23" t="inlineStr">
        <is>
          <t>Owners and dates</t>
        </is>
      </c>
      <c r="C10" s="23" t="inlineStr">
        <is>
          <t>Mark</t>
        </is>
      </c>
      <c r="D10" s="23" t="inlineStr">
        <is>
          <t>Fill in the table below.</t>
        </is>
      </c>
      <c r="E10" s="23" t="n"/>
      <c r="F10" s="23" t="n"/>
    </row>
    <row r="11">
      <c r="A11" s="20" t="inlineStr">
        <is>
          <t>Internal next steps</t>
        </is>
      </c>
      <c r="B11" s="21" t="n"/>
      <c r="C11" s="21" t="n"/>
      <c r="D11" s="21" t="n"/>
      <c r="E11" s="21" t="n"/>
      <c r="F11" s="21" t="n"/>
    </row>
    <row r="12" ht="39" customHeight="1">
      <c r="A12" s="24" t="inlineStr">
        <is>
          <t>#</t>
        </is>
      </c>
      <c r="B12" s="24" t="inlineStr">
        <is>
          <t>Owner</t>
        </is>
      </c>
      <c r="C12" s="24" t="inlineStr">
        <is>
          <t>Action</t>
        </is>
      </c>
      <c r="D12" s="24" t="inlineStr">
        <is>
          <t>Why / input</t>
        </is>
      </c>
      <c r="E12" s="24" t="inlineStr">
        <is>
          <t>Due</t>
        </is>
      </c>
      <c r="F12" s="24" t="inlineStr">
        <is>
          <t>Status</t>
        </is>
      </c>
      <c r="G12" s="24" t="inlineStr">
        <is>
          <t xml:space="preserve">Mark Comments </t>
        </is>
      </c>
    </row>
    <row r="13" ht="25" customHeight="1">
      <c r="A13" s="23" t="n">
        <v>1</v>
      </c>
      <c r="B13" s="23" t="inlineStr">
        <is>
          <t>Michel</t>
        </is>
      </c>
      <c r="C13" s="23" t="inlineStr">
        <is>
          <t>Stand up Concurrent-hosted SFTP (sandbox first): inbound/outbound folders, per-plant or per-doc-type layout, SSH key or password, IP allowlist</t>
        </is>
      </c>
      <c r="D13" s="23" t="inlineStr">
        <is>
          <t>Client connects with BizLink (file mover only)</t>
        </is>
      </c>
      <c r="E13" s="25" t="n"/>
      <c r="F13" s="25" t="inlineStr">
        <is>
          <t>Open</t>
        </is>
      </c>
      <c r="G13" s="32" t="n"/>
    </row>
    <row r="14" ht="25" customHeight="1">
      <c r="A14" s="23" t="n">
        <v>2</v>
      </c>
      <c r="B14" s="23" t="inlineStr">
        <is>
          <t>Michel</t>
        </is>
      </c>
      <c r="C14" s="23" t="inlineStr">
        <is>
          <t>Write a one-page BizLink connection guide for Shehadey (host, folders, naming, pickup/archive rules)</t>
        </is>
      </c>
      <c r="D14" s="23" t="inlineStr">
        <is>
          <t>Client asked us to tell them the folder structure</t>
        </is>
      </c>
      <c r="E14" s="25" t="n"/>
      <c r="F14" s="25" t="inlineStr">
        <is>
          <t>Open</t>
        </is>
      </c>
    </row>
    <row r="15" ht="37.5" customHeight="1">
      <c r="A15" s="23" t="n">
        <v>3</v>
      </c>
      <c r="B15" s="23" t="inlineStr">
        <is>
          <t>Michel</t>
        </is>
      </c>
      <c r="C15" s="23" t="inlineStr">
        <is>
          <t>Design the Tray flows: Orderful API → 850 flat file → SFTP; SFTP → 810/856 flat file → Orderful API</t>
        </is>
      </c>
      <c r="D15" s="23" t="inlineStr">
        <is>
          <t>See integration flow page</t>
        </is>
      </c>
      <c r="E15" s="25" t="n"/>
      <c r="F15" s="25" t="inlineStr">
        <is>
          <t>Open</t>
        </is>
      </c>
      <c r="G15" s="31" t="inlineStr">
        <is>
          <t xml:space="preserve">Mark to Share RC Moore Tray Work Space </t>
        </is>
      </c>
    </row>
    <row r="16" ht="25" customHeight="1">
      <c r="A16" s="23" t="n">
        <v>4</v>
      </c>
      <c r="B16" s="23" t="inlineStr">
        <is>
          <t>Michel</t>
        </is>
      </c>
      <c r="C16" s="27" t="inlineStr">
        <is>
          <t>Design error handling and alerts: ERMS drops a whole file on one bad record and fails silently.</t>
        </is>
      </c>
      <c r="D16" s="23" t="inlineStr">
        <is>
          <t>Decide: hold and alert, or write and let ERMS reject</t>
        </is>
      </c>
      <c r="E16" s="25" t="n"/>
      <c r="F16" s="25" t="inlineStr">
        <is>
          <t>Open</t>
        </is>
      </c>
      <c r="G16" s="28" t="inlineStr">
        <is>
          <t xml:space="preserve">Is this a client question? </t>
        </is>
      </c>
    </row>
    <row r="17" ht="25" customHeight="1">
      <c r="A17" s="23" t="n">
        <v>5</v>
      </c>
      <c r="B17" s="23" t="inlineStr">
        <is>
          <t>Mauricio</t>
        </is>
      </c>
      <c r="C17" s="23" t="inlineStr">
        <is>
          <t>Build the 850 writer (Orderful 850 JSON → ERMS pipe file: HDR/HST/HBT/HCM/HAL/LDT/LAL/TOT)</t>
        </is>
      </c>
      <c r="D17" s="23" t="inlineStr">
        <is>
          <t>outputs/2026-10-21-costco-mapping-workbook.xlsx, 850 tab</t>
        </is>
      </c>
      <c r="E17" s="25" t="n"/>
      <c r="F17" s="25" t="inlineStr">
        <is>
          <t>Open</t>
        </is>
      </c>
      <c r="G17" s="32" t="n"/>
    </row>
    <row r="18" ht="25" customHeight="1">
      <c r="A18" s="23" t="n">
        <v>6</v>
      </c>
      <c r="B18" s="23" t="inlineStr">
        <is>
          <t>Mauricio</t>
        </is>
      </c>
      <c r="C18" s="23" t="inlineStr">
        <is>
          <t>Build the 810 and 856 parsers: split multi-invoice batches (HDR…TOT); group 856 pallets by HI field 26</t>
        </is>
      </c>
      <c r="D18" s="23" t="inlineStr">
        <is>
          <t>810 and 856 tabs; client templates in specs/810 and specs/856</t>
        </is>
      </c>
      <c r="E18" s="25" t="n"/>
      <c r="F18" s="25" t="inlineStr">
        <is>
          <t>Open</t>
        </is>
      </c>
      <c r="G18" s="32" t="n"/>
    </row>
    <row r="19" ht="25" customHeight="1">
      <c r="A19" s="23" t="n">
        <v>7</v>
      </c>
      <c r="B19" s="23" t="inlineStr">
        <is>
          <t>Mauricio</t>
        </is>
      </c>
      <c r="C19" s="23" t="inlineStr">
        <is>
          <t>Test against real samples: 59 850 flat files, EDITESTredacted.810, EDI_UW.856, EDI_RA_redacted.856</t>
        </is>
      </c>
      <c r="D19" s="23" t="inlineStr">
        <is>
          <t>specs/*/samples in the repo</t>
        </is>
      </c>
      <c r="E19" s="25" t="n"/>
      <c r="F19" s="25" t="inlineStr">
        <is>
          <t>Open</t>
        </is>
      </c>
      <c r="G19" s="32" t="n"/>
    </row>
    <row r="20" ht="25" customHeight="1">
      <c r="A20" s="23" t="n">
        <v>8</v>
      </c>
      <c r="B20" s="23" t="inlineStr">
        <is>
          <t>Michel + Mauricio</t>
        </is>
      </c>
      <c r="C20" s="23" t="inlineStr">
        <is>
          <t>Review inferred (🟡) and open (❓) rows; send one consolidated question list to Adam via Mark</t>
        </is>
      </c>
      <c r="D20" s="23" t="inlineStr">
        <is>
          <t>specs/*/questions.md</t>
        </is>
      </c>
      <c r="E20" s="25" t="n"/>
      <c r="F20" s="25" t="inlineStr">
        <is>
          <t>Open</t>
        </is>
      </c>
      <c r="G20" s="32" t="n"/>
    </row>
    <row r="21" ht="25" customHeight="1">
      <c r="A21" s="23" t="n">
        <v>9</v>
      </c>
      <c r="B21" s="23" t="inlineStr">
        <is>
          <t>Mark</t>
        </is>
      </c>
      <c r="C21" s="23" t="inlineStr">
        <is>
          <t>Fix Aptean access with Adam (saved URL/login not working); pull a Costco raw 850 + matching flat file</t>
        </is>
      </c>
      <c r="D21" s="23" t="inlineStr">
        <is>
          <t>Turns 850 inferred rows into verified</t>
        </is>
      </c>
      <c r="E21" s="25" t="n"/>
      <c r="F21" s="25" t="inlineStr">
        <is>
          <t>Open</t>
        </is>
      </c>
      <c r="G21" s="33" t="n"/>
    </row>
    <row r="22" ht="25" customHeight="1">
      <c r="A22" s="23" t="n">
        <v>10</v>
      </c>
      <c r="B22" s="23" t="inlineStr">
        <is>
          <t>Mark</t>
        </is>
      </c>
      <c r="C22" s="23" t="inlineStr">
        <is>
          <t>Join Kelly/Adam meeting on ReposiTrak AS2 (Park City Costco 850s into Orderful)</t>
        </is>
      </c>
      <c r="D22" s="23" t="inlineStr">
        <is>
          <t>Needed for WebEDI 856s at Fairfield/Model</t>
        </is>
      </c>
      <c r="E22" s="25" t="n"/>
      <c r="F22" s="25" t="inlineStr">
        <is>
          <t>Open</t>
        </is>
      </c>
    </row>
    <row r="23">
      <c r="A23" s="23" t="n">
        <v>11</v>
      </c>
      <c r="B23" s="23" t="inlineStr">
        <is>
          <t>Mark</t>
        </is>
      </c>
      <c r="C23" s="23" t="inlineStr">
        <is>
          <t>Confirm with Orderful how to test the WebEDI 856 setup for Costco</t>
        </is>
      </c>
      <c r="D23" s="23" t="inlineStr">
        <is>
          <t>Mark's note on Next Steps</t>
        </is>
      </c>
      <c r="E23" s="25" t="n"/>
      <c r="F23" s="25" t="inlineStr">
        <is>
          <t>Open</t>
        </is>
      </c>
    </row>
    <row r="24">
      <c r="A24" s="23" t="n">
        <v>12</v>
      </c>
      <c r="B24" s="23" t="inlineStr">
        <is>
          <t>Mark</t>
        </is>
      </c>
      <c r="C24" s="23" t="inlineStr">
        <is>
          <t>Push trade requests (new Orderful ISA, Costco first)</t>
        </is>
      </c>
      <c r="D24" s="23" t="n"/>
      <c r="E24" s="25" t="n"/>
      <c r="F24" s="25" t="inlineStr">
        <is>
          <t>Open</t>
        </is>
      </c>
    </row>
    <row r="25">
      <c r="A25" s="23" t="n">
        <v>13</v>
      </c>
      <c r="B25" s="23" t="inlineStr">
        <is>
          <t>John</t>
        </is>
      </c>
      <c r="C25" s="23" t="inlineStr">
        <is>
          <t>Confirm SFTP hosting cost and whether it changes the quote</t>
        </is>
      </c>
      <c r="D25" s="23" t="inlineStr">
        <is>
          <t>Client prefers Concurrent-hosted</t>
        </is>
      </c>
      <c r="E25" s="25" t="n"/>
      <c r="F25" s="25" t="inlineStr">
        <is>
          <t>Open</t>
        </is>
      </c>
      <c r="G25" s="29" t="n"/>
    </row>
    <row r="26" ht="25" customHeight="1">
      <c r="A26" s="23" t="n">
        <v>14</v>
      </c>
      <c r="B26" s="23" t="inlineStr">
        <is>
          <t>John</t>
        </is>
      </c>
      <c r="C26" s="23" t="inlineStr">
        <is>
          <t>Check scope vs contract: doc types priced vs in use; Umpqua 856 approach (RA has no SSCC)</t>
        </is>
      </c>
      <c r="D26" s="23" t="inlineStr">
        <is>
          <t>Avoid unpriced work</t>
        </is>
      </c>
      <c r="E26" s="25" t="n"/>
      <c r="F26" s="25" t="inlineStr">
        <is>
          <t>Open</t>
        </is>
      </c>
      <c r="G26" s="29" t="n"/>
    </row>
    <row r="27">
      <c r="A27" s="23" t="n">
        <v>15</v>
      </c>
      <c r="B27" s="23" t="inlineStr">
        <is>
          <t>Team</t>
        </is>
      </c>
      <c r="C27" s="23" t="inlineStr">
        <is>
          <t>Agree a Costco target date to give the client, once certification date is known</t>
        </is>
      </c>
      <c r="D27" s="23" t="inlineStr">
        <is>
          <t>Costco sets go-live after certification</t>
        </is>
      </c>
      <c r="E27" s="25" t="n"/>
      <c r="F27" s="25" t="inlineStr">
        <is>
          <t>Open</t>
        </is>
      </c>
      <c r="G27" s="29" t="n"/>
    </row>
    <row r="28" ht="50" customHeight="1">
      <c r="A28" s="23" t="n">
        <v>16</v>
      </c>
      <c r="B28" s="23" t="inlineStr">
        <is>
          <t>John</t>
        </is>
      </c>
      <c r="C28" s="23" t="inlineStr">
        <is>
          <t>Pull the signed Orderful/Concurrent order form or SOW and confirm what's priced: one-time fee per partner, ongoing subscription per partner, per-doc-type fees, Concurrent onboarding services, and the $5,500/doc type Tray build</t>
        </is>
      </c>
      <c r="D28" s="23" t="inlineStr">
        <is>
          <t>Intake brief only names $5,500/doc type, VAN 3¢/transaction, $5,400/mo year-4 renewal at 45 partners, 3-year ramp. Per-partner fees aren't spelled out anywhere we've seen.</t>
        </is>
      </c>
      <c r="E28" s="25" t="n"/>
      <c r="F28" s="25" t="inlineStr">
        <is>
          <t>Open</t>
        </is>
      </c>
      <c r="G28" s="29" t="n"/>
    </row>
    <row r="29" ht="62.5" customHeight="1">
      <c r="A29" s="23" t="n">
        <v>17</v>
      </c>
      <c r="B29" s="23" t="inlineStr">
        <is>
          <t>John</t>
        </is>
      </c>
      <c r="C29" s="23" t="inlineStr">
        <is>
          <t>Confirm which doc types are in the signed scope (sales list: 850, 875, 880, 810, 856, 855, 945). 945 isn't in the client inventory; 894 is used by 3 partners but isn't on the sales list</t>
        </is>
      </c>
      <c r="D29" s="23" t="inlineStr">
        <is>
          <t>Questions tab</t>
        </is>
      </c>
      <c r="E29" s="25" t="n"/>
      <c r="F29" s="25" t="inlineStr">
        <is>
          <t>Open</t>
        </is>
      </c>
      <c r="G29" s="29" t="n"/>
    </row>
    <row r="30" ht="25" customHeight="1">
      <c r="A30" s="23" t="n">
        <v>18</v>
      </c>
      <c r="B30" s="23" t="inlineStr">
        <is>
          <t>Mark + Michel</t>
        </is>
      </c>
      <c r="C30" s="23" t="inlineStr">
        <is>
          <t>Set up Jira tracking (Mark: project, epics per milestone, PM tasks; Michel: technical build tickets)</t>
        </is>
      </c>
      <c r="D30" s="23" t="inlineStr">
        <is>
          <t>Milestones on the Next Steps tab</t>
        </is>
      </c>
      <c r="E30" s="25" t="n"/>
      <c r="F30" s="25" t="inlineStr">
        <is>
          <t>Open</t>
        </is>
      </c>
      <c r="G30" s="29" t="n"/>
    </row>
    <row r="31">
      <c r="A31" s="20" t="inlineStr">
        <is>
          <t>Risks to discuss</t>
        </is>
      </c>
      <c r="B31" s="21" t="n"/>
      <c r="C31" s="21" t="n"/>
      <c r="D31" s="21" t="n"/>
      <c r="E31" s="21" t="n"/>
      <c r="F31" s="21" t="n"/>
    </row>
    <row r="32" ht="62.5" customHeight="1">
      <c r="A32" s="23" t="inlineStr">
        <is>
          <t>—</t>
        </is>
      </c>
      <c r="B32" s="27" t="inlineStr">
        <is>
          <t>Costco go-live may come fast after certification; SPS cost (~$300–400/month) adds pressure</t>
        </is>
      </c>
      <c r="C32" s="23" t="n"/>
      <c r="D32" s="23" t="n"/>
      <c r="E32" s="23" t="n"/>
      <c r="F32" s="23" t="n"/>
    </row>
  </sheetData>
  <pageMargins left="0.75" right="0.75" top="1" bottom="1" header="0.5" footer="0.5"/>
  <pageSetup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5" customWidth="1" min="1" max="1"/>
    <col width="14" customWidth="1" min="2" max="2"/>
    <col width="62" customWidth="1" min="3" max="3"/>
    <col width="26" customWidth="1" min="4" max="4"/>
    <col width="12" customWidth="1" min="5" max="6"/>
    <col width="50" customWidth="1" min="7" max="7"/>
  </cols>
  <sheetData>
    <row r="1" ht="18.5" customHeight="1">
      <c r="A1" s="42" t="inlineStr">
        <is>
          <t>Internal Call Agenda 10/27 (Concurrent)</t>
        </is>
      </c>
    </row>
    <row r="2">
      <c r="A2" t="inlineStr">
        <is>
          <t>Prep before the client call with Adam.</t>
        </is>
      </c>
    </row>
    <row r="4">
      <c r="A4" s="43" t="inlineStr">
        <is>
          <t>#</t>
        </is>
      </c>
      <c r="B4" s="43" t="inlineStr">
        <is>
          <t>Topic</t>
        </is>
      </c>
      <c r="C4" s="43" t="inlineStr">
        <is>
          <t>Item</t>
        </is>
      </c>
      <c r="D4" s="43" t="inlineStr">
        <is>
          <t>Owner</t>
        </is>
      </c>
      <c r="E4" s="43" t="inlineStr">
        <is>
          <t>Due date</t>
        </is>
      </c>
      <c r="F4" s="43" t="inlineStr">
        <is>
          <t>Status</t>
        </is>
      </c>
      <c r="G4" s="43" t="inlineStr">
        <is>
          <t>Notes</t>
        </is>
      </c>
    </row>
    <row r="5" ht="29" customHeight="1">
      <c r="A5" s="44" t="n">
        <v>1</v>
      </c>
      <c r="B5" s="44" t="inlineStr">
        <is>
          <t>Trade requests</t>
        </is>
      </c>
      <c r="C5" s="44" t="inlineStr">
        <is>
          <t>220507 (COSTCOEDIUSA): Orderful agent waiting on vendor # + authorization</t>
        </is>
      </c>
      <c r="D5" s="44" t="inlineStr">
        <is>
          <t>Concurrent (Mark)</t>
        </is>
      </c>
      <c r="E5" s="44" t="n"/>
      <c r="F5" s="44" t="inlineStr">
        <is>
          <t>In progress</t>
        </is>
      </c>
      <c r="G5" s="44" t="inlineStr">
        <is>
          <t>10/27 OA: planning setup now (program, guidelines, scenarios); approval buttons post in thread. Vendor # can come later.
10/27 11:30: 220507 now ACCEPTED - relationships 850, 860, 820, 824 in; 810, 856 out. 856 was added here too (OA said COSTCOMASN) - confirm. Shehadey-side relationship setup pending (Mosaic goes here).</t>
        </is>
      </c>
    </row>
    <row r="6" ht="29" customHeight="1">
      <c r="A6" s="44" t="n">
        <v>2</v>
      </c>
      <c r="B6" s="44" t="inlineStr">
        <is>
          <t>Trade requests</t>
        </is>
      </c>
      <c r="C6" s="44" t="inlineStr">
        <is>
          <t>COSTCOMASN (856) and 103391843VMI (852) requests - status</t>
        </is>
      </c>
      <c r="D6" s="44" t="inlineStr">
        <is>
          <t>Concurrent (Anu)</t>
        </is>
      </c>
      <c r="E6" s="44" t="n"/>
      <c r="F6" s="44" t="inlineStr">
        <is>
          <t>Open</t>
        </is>
      </c>
      <c r="G6" s="44" t="inlineStr">
        <is>
          <t>OA: scenario 856 step goes on COSTCOMASN (26671), not 220507.</t>
        </is>
      </c>
    </row>
    <row r="7">
      <c r="A7" s="44" t="n">
        <v>3</v>
      </c>
      <c r="B7" s="44" t="inlineStr">
        <is>
          <t>New finding</t>
        </is>
      </c>
      <c r="C7" s="44" t="inlineStr">
        <is>
          <t>852 runs both ways (in and out daily) - design impact?</t>
        </is>
      </c>
      <c r="D7" s="44" t="inlineStr">
        <is>
          <t>Concurrent (Michel)</t>
        </is>
      </c>
      <c r="E7" s="44" t="n"/>
      <c r="F7" s="44" t="inlineStr">
        <is>
          <t>Open</t>
        </is>
      </c>
      <c r="G7" s="44" t="n"/>
    </row>
    <row r="8">
      <c r="A8" s="44" t="n">
        <v>4</v>
      </c>
      <c r="B8" s="44" t="inlineStr">
        <is>
          <t>New finding</t>
        </is>
      </c>
      <c r="C8" s="44" t="inlineStr">
        <is>
          <t>103391843PCG: ~50 810s/day not in plan - scope and phase?</t>
        </is>
      </c>
      <c r="D8" s="44" t="inlineStr">
        <is>
          <t>Concurrent (John + Mark)</t>
        </is>
      </c>
      <c r="E8" s="44" t="n"/>
      <c r="F8" s="44" t="inlineStr">
        <is>
          <t>Open</t>
        </is>
      </c>
      <c r="G8" s="44" t="n"/>
    </row>
    <row r="9" ht="29" customHeight="1">
      <c r="A9" s="44" t="n">
        <v>5</v>
      </c>
      <c r="B9" s="44" t="inlineStr">
        <is>
          <t>New finding</t>
        </is>
      </c>
      <c r="C9" s="44" t="inlineStr">
        <is>
          <t>860 rare, no 820/824 seen - keep in scope?</t>
        </is>
      </c>
      <c r="D9" s="44" t="inlineStr">
        <is>
          <t>Concurrent (Mark)</t>
        </is>
      </c>
      <c r="E9" s="44" t="n"/>
      <c r="F9" s="44" t="inlineStr">
        <is>
          <t>Open</t>
        </is>
      </c>
      <c r="G9" s="44" t="inlineStr">
        <is>
          <t>OA: 820 has no Costco test - set up, switch on after go-live. 824 and 860 are in testing.</t>
        </is>
      </c>
    </row>
    <row r="10">
      <c r="A10" s="44" t="n">
        <v>6</v>
      </c>
      <c r="B10" s="44" t="inlineStr">
        <is>
          <t>Mosaic</t>
        </is>
      </c>
      <c r="C10" s="44" t="inlineStr">
        <is>
          <t>Poller channel on Shehadey account; Mosaic on all relationships</t>
        </is>
      </c>
      <c r="D10" s="44" t="inlineStr">
        <is>
          <t>Concurrent (Michel)</t>
        </is>
      </c>
      <c r="E10" s="44" t="n"/>
      <c r="F10" s="44" t="inlineStr">
        <is>
          <t>Open</t>
        </is>
      </c>
      <c r="G10" s="44" t="n"/>
    </row>
    <row r="11" ht="29" customHeight="1">
      <c r="A11" s="44" t="n">
        <v>7</v>
      </c>
      <c r="B11" s="44" t="inlineStr">
        <is>
          <t>Mosaic</t>
        </is>
      </c>
      <c r="C11" s="44" t="inlineStr">
        <is>
          <t>820/824 have no Mosaic schema - adapter handles standard JSON?</t>
        </is>
      </c>
      <c r="D11" s="44" t="inlineStr">
        <is>
          <t>Concurrent (Michel + Mauricio)</t>
        </is>
      </c>
      <c r="E11" s="44" t="n"/>
      <c r="F11" s="44" t="inlineStr">
        <is>
          <t>Open</t>
        </is>
      </c>
      <c r="G11" s="44" t="n"/>
    </row>
    <row r="12">
      <c r="A12" s="44" t="n">
        <v>8</v>
      </c>
      <c r="B12" s="44" t="inlineStr">
        <is>
          <t>SFTP</t>
        </is>
      </c>
      <c r="C12" s="44" t="inlineStr">
        <is>
          <t>CouchDrop account setup status (M1)</t>
        </is>
      </c>
      <c r="D12" s="44" t="inlineStr">
        <is>
          <t>Concurrent (Michel)</t>
        </is>
      </c>
      <c r="E12" s="44" t="n"/>
      <c r="F12" s="44" t="inlineStr">
        <is>
          <t>Open</t>
        </is>
      </c>
      <c r="G12" s="44" t="n"/>
    </row>
    <row r="13" ht="29" customHeight="1">
      <c r="A13" s="44" t="n">
        <v>9</v>
      </c>
      <c r="B13" s="44" t="inlineStr">
        <is>
          <t>Build</t>
        </is>
      </c>
      <c r="C13" s="44" t="inlineStr">
        <is>
          <t>V3 adapter design and flat file mapping status</t>
        </is>
      </c>
      <c r="D13" s="44" t="inlineStr">
        <is>
          <t>Concurrent (Michel + Mauricio)</t>
        </is>
      </c>
      <c r="E13" s="44" t="n"/>
      <c r="F13" s="44" t="inlineStr">
        <is>
          <t>Open</t>
        </is>
      </c>
      <c r="G13" s="44" t="n"/>
    </row>
    <row r="14" ht="29" customHeight="1">
      <c r="A14" s="44" t="n">
        <v>10</v>
      </c>
      <c r="B14" s="44" t="inlineStr">
        <is>
          <t>Testing</t>
        </is>
      </c>
      <c r="C14" s="44" t="inlineStr">
        <is>
          <t>Costco scenarios: Produce/Meat set (99238, 99245, 99240) - agree?</t>
        </is>
      </c>
      <c r="D14" s="44" t="inlineStr">
        <is>
          <t>Concurrent (Mark + Anu)</t>
        </is>
      </c>
      <c r="E14" s="44" t="n"/>
      <c r="F14" s="44" t="inlineStr">
        <is>
          <t>Open</t>
        </is>
      </c>
      <c r="G14" s="44" t="inlineStr">
        <is>
          <t>OA recommends Produce/Meat set. SPS judges results in its portal.</t>
        </is>
      </c>
    </row>
    <row r="15">
      <c r="A15" s="44" t="n">
        <v>11</v>
      </c>
      <c r="B15" s="44" t="inlineStr">
        <is>
          <t>Park City</t>
        </is>
      </c>
      <c r="C15" s="44" t="inlineStr">
        <is>
          <t>WebEDI 856 approach for Fairfield/Model</t>
        </is>
      </c>
      <c r="D15" s="44" t="inlineStr">
        <is>
          <t>Concurrent (Mark)</t>
        </is>
      </c>
      <c r="E15" s="44" t="n"/>
      <c r="F15" s="44" t="inlineStr">
        <is>
          <t>Open</t>
        </is>
      </c>
      <c r="G15" s="44" t="n"/>
    </row>
    <row r="16">
      <c r="A16" s="44" t="n">
        <v>12</v>
      </c>
      <c r="B16" s="44" t="inlineStr">
        <is>
          <t>Commercial</t>
        </is>
      </c>
      <c r="C16" s="44" t="inlineStr">
        <is>
          <t>Per-TP fees / scope change for new flows</t>
        </is>
      </c>
      <c r="D16" s="44" t="inlineStr">
        <is>
          <t>Concurrent (John)</t>
        </is>
      </c>
      <c r="E16" s="44" t="n"/>
      <c r="F16" s="44" t="inlineStr">
        <is>
          <t>Open</t>
        </is>
      </c>
      <c r="G16" s="44" t="n"/>
    </row>
    <row r="17">
      <c r="A17" s="44" t="n">
        <v>13</v>
      </c>
      <c r="B17" s="44" t="inlineStr">
        <is>
          <t>Tracking</t>
        </is>
      </c>
      <c r="C17" s="44" t="inlineStr">
        <is>
          <t>Jira project and epics set up</t>
        </is>
      </c>
      <c r="D17" s="44" t="inlineStr">
        <is>
          <t>Concurrent (Mark + Michel)</t>
        </is>
      </c>
      <c r="E17" s="44" t="n"/>
      <c r="F17" s="44" t="inlineStr">
        <is>
          <t>Open</t>
        </is>
      </c>
      <c r="G17" s="44" t="n"/>
    </row>
    <row r="18">
      <c r="A18" s="44" t="n">
        <v>14</v>
      </c>
      <c r="B18" s="44" t="inlineStr">
        <is>
          <t>Client call</t>
        </is>
      </c>
      <c r="C18" s="44" t="inlineStr">
        <is>
          <t>Who covers which items with Adam</t>
        </is>
      </c>
      <c r="D18" s="44" t="inlineStr">
        <is>
          <t>Concurrent (Mark)</t>
        </is>
      </c>
      <c r="E18" s="44" t="n"/>
      <c r="F18" s="44" t="inlineStr">
        <is>
          <t>Open</t>
        </is>
      </c>
      <c r="G18" s="44" t="n"/>
    </row>
    <row r="19" ht="43.5" customHeight="1">
      <c r="A19" s="44" t="n">
        <v>15</v>
      </c>
      <c r="B19" s="44" t="inlineStr">
        <is>
          <t>Trade requests</t>
        </is>
      </c>
      <c r="C19" s="44" t="inlineStr">
        <is>
          <t>Verify real ISA IDs: PCG 810 header shows ISA 01/103391843 with GS 103391843PCG. Is VMI the same (GS only)? Hold Anu's 103391843VMI request until confirmed.</t>
        </is>
      </c>
      <c r="D19" s="44" t="inlineStr">
        <is>
          <t>Concurrent (Mark + Anu)</t>
        </is>
      </c>
      <c r="E19" s="44" t="n"/>
      <c r="F19" s="44" t="inlineStr">
        <is>
          <t>Done</t>
        </is>
      </c>
      <c r="G19" s="44" t="inlineStr">
        <is>
          <t>10/27: VMI confirmed real ISA (inbound ZZ/103391843VMI, outbound 01/103391843VMI). PCG is GS-only on ISA 01/103391843 (Costco account 2499). OK for Anu to proceed on VMI.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2026-10-21T11:43:59Z</dcterms:created>
  <dcterms:modified xmlns:dcterms="http://purl.org/dc/terms/" xmlns:xsi="http://www.w3.org/2001/XMLSchema-instance" xsi:type="dcterms:W3CDTF">2026-10-28T18:03:02Z</dcterms:modified>
  <cp:lastModifiedBy>Mark Dallas</cp:lastModifiedBy>
  <cp:revision>0</cp:revision>
</cp:coreProperties>
</file>