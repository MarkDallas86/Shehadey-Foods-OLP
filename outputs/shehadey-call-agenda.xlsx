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7520" tabRatio="500" firstSheet="2" activeTab="3" autoFilterDateGrouping="1"/>
  </bookViews>
  <sheets>
    <sheet xmlns:r="http://schemas.openxmlformats.org/officeDocument/2006/relationships" name="Agenda" sheetId="1" state="visible" r:id="rId1"/>
    <sheet xmlns:r="http://schemas.openxmlformats.org/officeDocument/2006/relationships" name="Internal Call Agenda 10-27" sheetId="2" state="visible" r:id="rId2"/>
    <sheet xmlns:r="http://schemas.openxmlformats.org/officeDocument/2006/relationships" name="10-27 Client Meeting" sheetId="3" state="visible" r:id="rId3"/>
    <sheet xmlns:r="http://schemas.openxmlformats.org/officeDocument/2006/relationships" name="Internal Team Call" sheetId="4" state="visible" r:id="rId4"/>
    <sheet xmlns:r="http://schemas.openxmlformats.org/officeDocument/2006/relationships" name="Questions" sheetId="5" state="visible" r:id="rId5"/>
    <sheet xmlns:r="http://schemas.openxmlformats.org/officeDocument/2006/relationships" name="Next Steps" sheetId="6" state="visible" r:id="rId6"/>
    <sheet xmlns:r="http://schemas.openxmlformats.org/officeDocument/2006/relationships" name="Blockers" sheetId="7" state="visible" r:id="rId7"/>
    <sheet xmlns:r="http://schemas.openxmlformats.org/officeDocument/2006/relationships" name="Spec Requirements" sheetId="8" state="visible" r:id="rId8"/>
    <sheet xmlns:r="http://schemas.openxmlformats.org/officeDocument/2006/relationships" name="Parked (Mapping Call)" sheetId="9" state="visible" r:id="rId9"/>
  </sheets>
  <definedNames>
    <definedName name="_xlnm._FilterDatabase" localSheetId="4" hidden="1">'Questions'!$A$4:$H$36</definedName>
    <definedName name="_xlnm._FilterDatabase" localSheetId="5" hidden="1">'Next Steps'!$A$14:$G$35</definedName>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sz val="14"/>
    </font>
    <font>
      <name val="Arial"/>
      <charset val="1"/>
      <i val="1"/>
      <color rgb="FF555555"/>
      <sz val="9"/>
    </font>
    <font>
      <name val="Arial"/>
      <charset val="1"/>
      <b val="1"/>
      <color rgb="FFFFFFFF"/>
      <sz val="10"/>
    </font>
    <font>
      <name val="Arial"/>
      <charset val="1"/>
      <sz val="10"/>
    </font>
    <font>
      <name val="Arial"/>
      <charset val="1"/>
      <b val="1"/>
      <sz val="10"/>
    </font>
    <font>
      <name val="Arial"/>
      <charset val="1"/>
      <color rgb="FF000000"/>
      <sz val="10"/>
    </font>
    <font>
      <name val="Arial"/>
      <charset val="1"/>
      <color rgb="FF666666"/>
      <sz val="10"/>
    </font>
    <font>
      <name val="Arial"/>
      <b val="1"/>
      <sz val="14"/>
    </font>
    <font>
      <name val="Arial"/>
      <i val="1"/>
      <color rgb="FF555555"/>
      <sz val="9"/>
    </font>
    <font>
      <name val="Arial"/>
      <b val="1"/>
      <sz val="11"/>
    </font>
    <font>
      <name val="Arial"/>
      <color rgb="FF000000"/>
      <sz val="10"/>
    </font>
    <font>
      <name val="Arial"/>
      <b val="1"/>
      <color rgb="FFFFFFFF"/>
      <sz val="10"/>
    </font>
    <font>
      <name val="Arial"/>
      <family val="2"/>
      <color rgb="FF000000"/>
      <sz val="10"/>
    </font>
    <font>
      <name val="Calibri"/>
      <charset val="1"/>
      <family val="2"/>
      <color rgb="FFFF0000"/>
      <sz val="11"/>
    </font>
    <font>
      <name val="Arial"/>
      <family val="2"/>
      <sz val="10"/>
    </font>
    <font>
      <name val="Arial"/>
      <b val="1"/>
      <color rgb="FFFFFFFF"/>
      <sz val="10"/>
    </font>
    <font>
      <name val="Arial"/>
      <color rgb="FF000000"/>
      <sz val="10"/>
    </font>
    <font>
      <name val="Calibri"/>
      <b val="1"/>
      <sz val="14"/>
    </font>
    <font>
      <name val="Calibri"/>
      <b val="1"/>
      <color rgb="FFFFFFFF"/>
      <sz val="11"/>
    </font>
  </fonts>
  <fills count="17">
    <fill>
      <patternFill/>
    </fill>
    <fill>
      <patternFill patternType="gray125"/>
    </fill>
    <fill>
      <patternFill patternType="solid">
        <fgColor rgb="FF1F3A5F"/>
        <bgColor rgb="FF333399"/>
      </patternFill>
    </fill>
    <fill>
      <patternFill patternType="solid">
        <fgColor rgb="FFFCE4E4"/>
        <bgColor rgb="FFEDEDED"/>
      </patternFill>
    </fill>
    <fill>
      <patternFill patternType="solid">
        <fgColor rgb="FFFFFF99"/>
        <bgColor rgb="FFFFF4D6"/>
      </patternFill>
    </fill>
    <fill>
      <patternFill patternType="solid">
        <fgColor rgb="FFFFF4D6"/>
        <bgColor rgb="FFFCE4E4"/>
      </patternFill>
    </fill>
    <fill>
      <patternFill patternType="solid">
        <fgColor rgb="FFEDEDED"/>
        <bgColor rgb="FFFCE4E4"/>
      </patternFill>
    </fill>
    <fill>
      <patternFill patternType="solid">
        <fgColor rgb="FFD9E1F2"/>
      </patternFill>
    </fill>
    <fill>
      <patternFill patternType="solid">
        <fgColor rgb="FF1F3A5F"/>
      </patternFill>
    </fill>
    <fill>
      <patternFill patternType="solid">
        <fgColor rgb="FFFFFF99"/>
      </patternFill>
    </fill>
    <fill>
      <patternFill patternType="solid">
        <fgColor rgb="FFFFFF00"/>
        <bgColor indexed="64"/>
      </patternFill>
    </fill>
    <fill>
      <patternFill patternType="solid">
        <fgColor rgb="FF92D050"/>
        <bgColor indexed="64"/>
      </patternFill>
    </fill>
    <fill>
      <patternFill patternType="solid">
        <fgColor theme="9"/>
        <bgColor indexed="64"/>
      </patternFill>
    </fill>
    <fill>
      <patternFill patternType="solid">
        <fgColor theme="4" tint="0.7999816888943144"/>
        <bgColor indexed="64"/>
      </patternFill>
    </fill>
    <fill>
      <patternFill patternType="solid">
        <fgColor rgb="FFD9E1F2"/>
      </patternFill>
    </fill>
    <fill>
      <patternFill patternType="solid">
        <fgColor rgb="FF1F3A5F"/>
      </patternFill>
    </fill>
    <fill>
      <patternFill patternType="solid">
        <fgColor rgb="FFFFFF99"/>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applyAlignment="1" pivotButton="0" quotePrefix="0" xfId="0">
      <alignment vertical="top" wrapText="1"/>
    </xf>
    <xf numFmtId="0" fontId="5" fillId="0" borderId="0" pivotButton="0" quotePrefix="0" xfId="0"/>
    <xf numFmtId="0" fontId="4" fillId="0" borderId="0" pivotButton="0" quotePrefix="0" xfId="0"/>
    <xf numFmtId="0" fontId="3" fillId="2"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0" borderId="1" applyAlignment="1" pivotButton="0" quotePrefix="0" xfId="0">
      <alignment vertical="top" wrapText="1"/>
    </xf>
    <xf numFmtId="0" fontId="6" fillId="5" borderId="1" applyAlignment="1" pivotButton="0" quotePrefix="0" xfId="0">
      <alignment vertical="top" wrapText="1"/>
    </xf>
    <xf numFmtId="0" fontId="7" fillId="6" borderId="1" applyAlignment="1" pivotButton="0" quotePrefix="0" xfId="0">
      <alignment vertical="top" wrapText="1"/>
    </xf>
    <xf numFmtId="0" fontId="4" fillId="4" borderId="1" applyAlignment="1" pivotButton="0" quotePrefix="0" xfId="0">
      <alignment vertical="top" wrapText="1"/>
    </xf>
    <xf numFmtId="0" fontId="6" fillId="3" borderId="2" applyAlignment="1" pivotButton="0" quotePrefix="0" xfId="0">
      <alignment vertical="top" wrapText="1"/>
    </xf>
    <xf numFmtId="0" fontId="6" fillId="3" borderId="3" applyAlignment="1" pivotButton="0" quotePrefix="0" xfId="0">
      <alignment vertical="top" wrapText="1"/>
    </xf>
    <xf numFmtId="0" fontId="4" fillId="0" borderId="2" applyAlignment="1" pivotButton="0" quotePrefix="0" xfId="0">
      <alignment vertical="top" wrapText="1"/>
    </xf>
    <xf numFmtId="0" fontId="3" fillId="2" borderId="2" applyAlignment="1" pivotButton="0" quotePrefix="0" xfId="0">
      <alignment vertical="top" wrapText="1"/>
    </xf>
    <xf numFmtId="0" fontId="8" fillId="0" borderId="0" pivotButton="0" quotePrefix="0" xfId="0"/>
    <xf numFmtId="0" fontId="9" fillId="0" borderId="0" pivotButton="0" quotePrefix="0" xfId="0"/>
    <xf numFmtId="0" fontId="10" fillId="7" borderId="0" pivotButton="0" quotePrefix="0" xfId="0"/>
    <xf numFmtId="0" fontId="0" fillId="7" borderId="0" pivotButton="0" quotePrefix="0" xfId="0"/>
    <xf numFmtId="0" fontId="12" fillId="8" borderId="4" pivotButton="0" quotePrefix="0" xfId="0"/>
    <xf numFmtId="0" fontId="11" fillId="0" borderId="4" applyAlignment="1" pivotButton="0" quotePrefix="0" xfId="0">
      <alignment vertical="top" wrapText="1"/>
    </xf>
    <xf numFmtId="0" fontId="12" fillId="8" borderId="4" applyAlignment="1" pivotButton="0" quotePrefix="0" xfId="0">
      <alignment vertical="top" wrapText="1"/>
    </xf>
    <xf numFmtId="0" fontId="11" fillId="9" borderId="4" applyAlignment="1" pivotButton="0" quotePrefix="0" xfId="0">
      <alignment vertical="top" wrapText="1"/>
    </xf>
    <xf numFmtId="0" fontId="11" fillId="10" borderId="4" applyAlignment="1" pivotButton="0" quotePrefix="0" xfId="0">
      <alignment vertical="top" wrapText="1"/>
    </xf>
    <xf numFmtId="0" fontId="13" fillId="0" borderId="4" applyAlignment="1" pivotButton="0" quotePrefix="0" xfId="0">
      <alignment vertical="top" wrapText="1"/>
    </xf>
    <xf numFmtId="0" fontId="11" fillId="0" borderId="2" applyAlignment="1" pivotButton="0" quotePrefix="0" xfId="0">
      <alignment vertical="top" wrapText="1"/>
    </xf>
    <xf numFmtId="0" fontId="0" fillId="12" borderId="0" pivotButton="0" quotePrefix="0" xfId="0"/>
    <xf numFmtId="0" fontId="13" fillId="11" borderId="2" applyAlignment="1" pivotButton="0" quotePrefix="0" xfId="0">
      <alignment vertical="top" wrapText="1"/>
    </xf>
    <xf numFmtId="0" fontId="15" fillId="13" borderId="2" applyAlignment="1" pivotButton="0" quotePrefix="0" xfId="0">
      <alignment vertical="top" wrapText="1"/>
    </xf>
    <xf numFmtId="0" fontId="0" fillId="13" borderId="0" pivotButton="0" quotePrefix="0" xfId="0"/>
    <xf numFmtId="0" fontId="14" fillId="13" borderId="0" pivotButton="0" quotePrefix="0" xfId="0"/>
    <xf numFmtId="0" fontId="15" fillId="0" borderId="1" applyAlignment="1" pivotButton="0" quotePrefix="0" xfId="0">
      <alignment vertical="top" wrapText="1"/>
    </xf>
    <xf numFmtId="0" fontId="10" fillId="14" borderId="0" pivotButton="0" quotePrefix="0" xfId="0"/>
    <xf numFmtId="0" fontId="0" fillId="14" borderId="0" pivotButton="0" quotePrefix="0" xfId="0"/>
    <xf numFmtId="0" fontId="16" fillId="15" borderId="5" applyAlignment="1" pivotButton="0" quotePrefix="0" xfId="0">
      <alignment vertical="top" wrapText="1"/>
    </xf>
    <xf numFmtId="0" fontId="17" fillId="0" borderId="5" applyAlignment="1" pivotButton="0" quotePrefix="0" xfId="0">
      <alignment vertical="top" wrapText="1"/>
    </xf>
    <xf numFmtId="0" fontId="17" fillId="16" borderId="5" applyAlignment="1" pivotButton="0" quotePrefix="0" xfId="0">
      <alignment vertical="top" wrapText="1"/>
    </xf>
    <xf numFmtId="0" fontId="11" fillId="0" borderId="5" applyAlignment="1" pivotButton="0" quotePrefix="0" xfId="0">
      <alignment vertical="top" wrapText="1"/>
    </xf>
    <xf numFmtId="16" fontId="17" fillId="16" borderId="5" applyAlignment="1" pivotButton="0" quotePrefix="0" xfId="0">
      <alignment vertical="top" wrapText="1"/>
    </xf>
    <xf numFmtId="0" fontId="18" fillId="0" borderId="0" pivotButton="0" quotePrefix="0" xfId="0"/>
    <xf numFmtId="0" fontId="19" fillId="15" borderId="6" applyAlignment="1" pivotButton="0" quotePrefix="0" xfId="0">
      <alignment vertical="center" wrapText="1"/>
    </xf>
    <xf numFmtId="0" fontId="0" fillId="0" borderId="6" applyAlignment="1" pivotButton="0" quotePrefix="0" xfId="0">
      <alignment vertical="top" wrapText="1"/>
    </xf>
    <xf numFmtId="0" fontId="19" fillId="15" borderId="2" applyAlignment="1" pivotButton="0" quotePrefix="0" xfId="0">
      <alignment vertical="center" wrapText="1"/>
    </xf>
    <xf numFmtId="0" fontId="0" fillId="0"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4D6"/>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zoomScaleNormal="100" workbookViewId="0">
      <selection activeCell="A5" sqref="A5:XFD5"/>
    </sheetView>
  </sheetViews>
  <sheetFormatPr baseColWidth="8" defaultColWidth="8.6328125" defaultRowHeight="14.5"/>
  <cols>
    <col width="5" customWidth="1" min="1" max="1"/>
    <col width="58" customWidth="1" min="2" max="2"/>
    <col width="14" customWidth="1" min="3" max="3"/>
    <col width="10" customWidth="1" min="4" max="4"/>
    <col width="56" customWidth="1" min="5" max="5"/>
  </cols>
  <sheetData>
    <row r="1" ht="18" customHeight="1">
      <c r="A1" s="1" t="inlineStr">
        <is>
          <t>Shehadey Foods — Next Call Agenda</t>
        </is>
      </c>
    </row>
    <row r="2">
      <c r="A2" s="2" t="inlineStr">
        <is>
          <t>Weekly call after the 10/20 working session · times are suggestions</t>
        </is>
      </c>
    </row>
    <row r="4">
      <c r="A4" s="3" t="inlineStr">
        <is>
          <t>#</t>
        </is>
      </c>
      <c r="B4" s="3" t="inlineStr">
        <is>
          <t>Topic</t>
        </is>
      </c>
      <c r="C4" s="3" t="inlineStr">
        <is>
          <t>Lead</t>
        </is>
      </c>
      <c r="D4" s="3" t="inlineStr">
        <is>
          <t>Minutes</t>
        </is>
      </c>
      <c r="E4" s="3" t="inlineStr">
        <is>
          <t>Notes</t>
        </is>
      </c>
    </row>
    <row r="5" ht="25" customHeight="1">
      <c r="A5" s="4" t="n">
        <v>1</v>
      </c>
      <c r="B5" s="4" t="inlineStr">
        <is>
          <t>Recap of 10/20 decisions</t>
        </is>
      </c>
      <c r="C5" s="4" t="inlineStr">
        <is>
          <t>Mark</t>
        </is>
      </c>
      <c r="D5" s="4" t="n">
        <v>3</v>
      </c>
      <c r="E5" s="4" t="inlineStr">
        <is>
          <t>New Orderful ISA; Concurrent hosts SFTP; Park City stays as-is; Costco first.</t>
        </is>
      </c>
    </row>
    <row r="6">
      <c r="A6" s="4" t="n">
        <v>2</v>
      </c>
      <c r="B6" s="4" t="inlineStr">
        <is>
          <t>Costco certification and go-live date</t>
        </is>
      </c>
      <c r="C6" s="4" t="inlineStr">
        <is>
          <t>Mark</t>
        </is>
      </c>
      <c r="D6" s="4" t="n">
        <v>5</v>
      </c>
      <c r="E6" s="4" t="inlineStr">
        <is>
          <t>Critical question.</t>
        </is>
      </c>
    </row>
    <row r="7" ht="25" customHeight="1">
      <c r="A7" s="4" t="n">
        <v>3</v>
      </c>
      <c r="B7" s="4" t="inlineStr">
        <is>
          <t>Costco 856 path: ReposiTrak AS2 + WebEDI for Park City plants; Umpqua 856</t>
        </is>
      </c>
      <c r="C7" s="4" t="inlineStr">
        <is>
          <t>Mark / Adam</t>
        </is>
      </c>
      <c r="D7" s="4" t="n">
        <v>8</v>
      </c>
      <c r="E7" s="4" t="inlineStr">
        <is>
          <t>Critical + High questions.</t>
        </is>
      </c>
    </row>
    <row r="8">
      <c r="A8" s="4" t="n">
        <v>4</v>
      </c>
      <c r="B8" s="4" t="inlineStr">
        <is>
          <t>Mapping review: 850/810/856 drafts and open questions</t>
        </is>
      </c>
      <c r="C8" s="4" t="inlineStr">
        <is>
          <t>John</t>
        </is>
      </c>
      <c r="D8" s="4" t="n">
        <v>15</v>
      </c>
      <c r="E8" s="4" t="inlineStr">
        <is>
          <t>Walk the Costco mapping workbook; only the open/inferred rows.</t>
        </is>
      </c>
    </row>
    <row r="9">
      <c r="A9" s="4" t="n">
        <v>5</v>
      </c>
      <c r="B9" s="4" t="inlineStr">
        <is>
          <t>Cross-reference table and required fields</t>
        </is>
      </c>
      <c r="C9" s="4" t="inlineStr">
        <is>
          <t>John</t>
        </is>
      </c>
      <c r="D9" s="4" t="n">
        <v>5</v>
      </c>
      <c r="E9" s="4" t="n"/>
    </row>
    <row r="10">
      <c r="A10" s="4" t="n">
        <v>6</v>
      </c>
      <c r="B10" s="4" t="inlineStr">
        <is>
          <t>SFTP: folder structure and BizLink connection</t>
        </is>
      </c>
      <c r="C10" s="4" t="inlineStr">
        <is>
          <t>John</t>
        </is>
      </c>
      <c r="D10" s="4" t="n">
        <v>5</v>
      </c>
      <c r="E10" s="4" t="inlineStr">
        <is>
          <t>Concurrent provides details; Adam/Narvel connect.</t>
        </is>
      </c>
    </row>
    <row r="11">
      <c r="A11" s="4" t="n">
        <v>7</v>
      </c>
      <c r="B11" s="4" t="inlineStr">
        <is>
          <t>Other open questions</t>
        </is>
      </c>
      <c r="C11" s="4" t="inlineStr">
        <is>
          <t>Mark</t>
        </is>
      </c>
      <c r="D11" s="4" t="n">
        <v>4</v>
      </c>
      <c r="E11" s="4" t="n"/>
    </row>
    <row r="12">
      <c r="A12" s="4" t="n">
        <v>8</v>
      </c>
      <c r="B12" s="4" t="inlineStr">
        <is>
          <t>Next steps and blockers</t>
        </is>
      </c>
      <c r="C12" s="4" t="inlineStr">
        <is>
          <t>Mark</t>
        </is>
      </c>
      <c r="D12" s="4" t="n">
        <v>5</v>
      </c>
      <c r="E12" s="4" t="inlineStr">
        <is>
          <t>See tabs.</t>
        </is>
      </c>
    </row>
    <row r="13">
      <c r="B13" s="5" t="inlineStr">
        <is>
          <t>Total minutes</t>
        </is>
      </c>
      <c r="D13" s="5">
        <f>SUM(D5:D12)</f>
        <v/>
      </c>
    </row>
    <row r="15">
      <c r="B15" s="5" t="inlineStr">
        <is>
          <t>Questions open or follow-up</t>
        </is>
      </c>
      <c r="D15" s="6">
        <f>COUNTIF(Questions!H5:H37,"Open")+COUNTIF(Questions!H5:H37,"Follow-up")</f>
        <v/>
      </c>
    </row>
    <row r="16">
      <c r="B16" s="5" t="inlineStr">
        <is>
          <t>Critical still open</t>
        </is>
      </c>
      <c r="D16" s="6">
        <f>COUNTIFS(Questions!B5:B37,"Critical",Questions!H5:H37,"&lt;&gt;Answered")</f>
        <v/>
      </c>
    </row>
    <row r="17">
      <c r="B17" s="5" t="inlineStr">
        <is>
          <t>Answered</t>
        </is>
      </c>
      <c r="D17" s="6">
        <f>COUNTIF(Questions!H5:H37,"Answered")</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4.5"/>
  <cols>
    <col width="5" customWidth="1" min="1" max="1"/>
    <col width="14" customWidth="1" min="2" max="2"/>
    <col width="62" customWidth="1" min="3" max="3"/>
    <col width="26" customWidth="1" min="4" max="4"/>
    <col width="12" customWidth="1" min="5" max="6"/>
    <col width="50" customWidth="1" min="7" max="7"/>
  </cols>
  <sheetData>
    <row r="1" ht="18.5" customHeight="1">
      <c r="A1" s="42" t="inlineStr">
        <is>
          <t>Internal Call Agenda 10/27 (Concurrent)</t>
        </is>
      </c>
    </row>
    <row r="2">
      <c r="A2" t="inlineStr">
        <is>
          <t>Prep before the client call with Adam.</t>
        </is>
      </c>
    </row>
    <row r="3"/>
    <row r="4">
      <c r="A4" s="43" t="inlineStr">
        <is>
          <t>#</t>
        </is>
      </c>
      <c r="B4" s="43" t="inlineStr">
        <is>
          <t>Topic</t>
        </is>
      </c>
      <c r="C4" s="43" t="inlineStr">
        <is>
          <t>Item</t>
        </is>
      </c>
      <c r="D4" s="43" t="inlineStr">
        <is>
          <t>Owner</t>
        </is>
      </c>
      <c r="E4" s="43" t="inlineStr">
        <is>
          <t>Due date</t>
        </is>
      </c>
      <c r="F4" s="43" t="inlineStr">
        <is>
          <t>Status</t>
        </is>
      </c>
      <c r="G4" s="43" t="inlineStr">
        <is>
          <t>Notes</t>
        </is>
      </c>
    </row>
    <row r="5" ht="29" customHeight="1">
      <c r="A5" s="44" t="n">
        <v>1</v>
      </c>
      <c r="B5" s="44" t="inlineStr">
        <is>
          <t>Trade requests</t>
        </is>
      </c>
      <c r="C5" s="44" t="inlineStr">
        <is>
          <t>220507 (COSTCOEDIUSA): Orderful agent waiting on vendor # + authorization</t>
        </is>
      </c>
      <c r="D5" s="44" t="inlineStr">
        <is>
          <t>Concurrent (Mark)</t>
        </is>
      </c>
      <c r="E5" s="44" t="n"/>
      <c r="F5" s="44" t="inlineStr">
        <is>
          <t>In progress</t>
        </is>
      </c>
      <c r="G5" s="44" t="inlineStr">
        <is>
          <t>10/27 OA: planning setup now (program, guidelines, scenarios); approval buttons post in thread. Vendor # can come later.</t>
        </is>
      </c>
    </row>
    <row r="6">
      <c r="A6" s="44" t="n">
        <v>2</v>
      </c>
      <c r="B6" s="44" t="inlineStr">
        <is>
          <t>Trade requests</t>
        </is>
      </c>
      <c r="C6" s="44" t="inlineStr">
        <is>
          <t>COSTCOMASN (856) and 103391843VMI (852) requests - status</t>
        </is>
      </c>
      <c r="D6" s="44" t="inlineStr">
        <is>
          <t>Concurrent (Anu)</t>
        </is>
      </c>
      <c r="E6" s="44" t="n"/>
      <c r="F6" s="44" t="inlineStr">
        <is>
          <t>Open</t>
        </is>
      </c>
      <c r="G6" s="44" t="inlineStr">
        <is>
          <t>OA: scenario 856 step goes on COSTCOMASN (26671), not 220507.</t>
        </is>
      </c>
    </row>
    <row r="7">
      <c r="A7" s="44" t="n">
        <v>3</v>
      </c>
      <c r="B7" s="44" t="inlineStr">
        <is>
          <t>New finding</t>
        </is>
      </c>
      <c r="C7" s="44" t="inlineStr">
        <is>
          <t>852 runs both ways (in and out daily) - design impact?</t>
        </is>
      </c>
      <c r="D7" s="44" t="inlineStr">
        <is>
          <t>Concurrent (Michel)</t>
        </is>
      </c>
      <c r="E7" s="44" t="n"/>
      <c r="F7" s="44" t="inlineStr">
        <is>
          <t>Open</t>
        </is>
      </c>
      <c r="G7" s="44" t="n"/>
    </row>
    <row r="8">
      <c r="A8" s="44" t="n">
        <v>4</v>
      </c>
      <c r="B8" s="44" t="inlineStr">
        <is>
          <t>New finding</t>
        </is>
      </c>
      <c r="C8" s="44" t="inlineStr">
        <is>
          <t>103391843PCG: ~50 810s/day not in plan - scope and phase?</t>
        </is>
      </c>
      <c r="D8" s="44" t="inlineStr">
        <is>
          <t>Concurrent (John + Mark)</t>
        </is>
      </c>
      <c r="E8" s="44" t="n"/>
      <c r="F8" s="44" t="inlineStr">
        <is>
          <t>Open</t>
        </is>
      </c>
      <c r="G8" s="44" t="n"/>
    </row>
    <row r="9">
      <c r="A9" s="44" t="n">
        <v>5</v>
      </c>
      <c r="B9" s="44" t="inlineStr">
        <is>
          <t>New finding</t>
        </is>
      </c>
      <c r="C9" s="44" t="inlineStr">
        <is>
          <t>860 rare, no 820/824 seen - keep in scope?</t>
        </is>
      </c>
      <c r="D9" s="44" t="inlineStr">
        <is>
          <t>Concurrent (Mark)</t>
        </is>
      </c>
      <c r="E9" s="44" t="n"/>
      <c r="F9" s="44" t="inlineStr">
        <is>
          <t>Open</t>
        </is>
      </c>
      <c r="G9" s="44" t="inlineStr">
        <is>
          <t>OA: 820 has no Costco test - set up, switch on after go-live. 824 and 860 are in testing.</t>
        </is>
      </c>
    </row>
    <row r="10">
      <c r="A10" s="44" t="n">
        <v>6</v>
      </c>
      <c r="B10" s="44" t="inlineStr">
        <is>
          <t>Mosaic</t>
        </is>
      </c>
      <c r="C10" s="44" t="inlineStr">
        <is>
          <t>Poller channel on Shehadey account; Mosaic on all relationships</t>
        </is>
      </c>
      <c r="D10" s="44" t="inlineStr">
        <is>
          <t>Concurrent (Michel)</t>
        </is>
      </c>
      <c r="E10" s="44" t="n"/>
      <c r="F10" s="44" t="inlineStr">
        <is>
          <t>Open</t>
        </is>
      </c>
      <c r="G10" s="44" t="n"/>
    </row>
    <row r="11" ht="29" customHeight="1">
      <c r="A11" s="44" t="n">
        <v>7</v>
      </c>
      <c r="B11" s="44" t="inlineStr">
        <is>
          <t>Mosaic</t>
        </is>
      </c>
      <c r="C11" s="44" t="inlineStr">
        <is>
          <t>820/824 have no Mosaic schema - adapter handles standard JSON?</t>
        </is>
      </c>
      <c r="D11" s="44" t="inlineStr">
        <is>
          <t>Concurrent (Michel + Mauricio)</t>
        </is>
      </c>
      <c r="E11" s="44" t="n"/>
      <c r="F11" s="44" t="inlineStr">
        <is>
          <t>Open</t>
        </is>
      </c>
      <c r="G11" s="44" t="n"/>
    </row>
    <row r="12">
      <c r="A12" s="44" t="n">
        <v>8</v>
      </c>
      <c r="B12" s="44" t="inlineStr">
        <is>
          <t>SFTP</t>
        </is>
      </c>
      <c r="C12" s="44" t="inlineStr">
        <is>
          <t>CouchDrop account setup status (M1)</t>
        </is>
      </c>
      <c r="D12" s="44" t="inlineStr">
        <is>
          <t>Concurrent (Michel)</t>
        </is>
      </c>
      <c r="E12" s="44" t="n"/>
      <c r="F12" s="44" t="inlineStr">
        <is>
          <t>Open</t>
        </is>
      </c>
      <c r="G12" s="44" t="n"/>
    </row>
    <row r="13" ht="29" customHeight="1">
      <c r="A13" s="44" t="n">
        <v>9</v>
      </c>
      <c r="B13" s="44" t="inlineStr">
        <is>
          <t>Build</t>
        </is>
      </c>
      <c r="C13" s="44" t="inlineStr">
        <is>
          <t>V3 adapter design and flat file mapping status</t>
        </is>
      </c>
      <c r="D13" s="44" t="inlineStr">
        <is>
          <t>Concurrent (Michel + Mauricio)</t>
        </is>
      </c>
      <c r="E13" s="44" t="n"/>
      <c r="F13" s="44" t="inlineStr">
        <is>
          <t>Open</t>
        </is>
      </c>
      <c r="G13" s="44" t="n"/>
    </row>
    <row r="14">
      <c r="A14" s="44" t="n">
        <v>10</v>
      </c>
      <c r="B14" s="44" t="inlineStr">
        <is>
          <t>Testing</t>
        </is>
      </c>
      <c r="C14" s="44" t="inlineStr">
        <is>
          <t>Costco scenarios: Produce/Meat set (99238, 99245, 99240) - agree?</t>
        </is>
      </c>
      <c r="D14" s="44" t="inlineStr">
        <is>
          <t>Concurrent (Mark + Anu)</t>
        </is>
      </c>
      <c r="E14" s="44" t="n"/>
      <c r="F14" s="44" t="inlineStr">
        <is>
          <t>Open</t>
        </is>
      </c>
      <c r="G14" s="44" t="inlineStr">
        <is>
          <t>OA recommends Produce/Meat set. SPS judges results in its portal.</t>
        </is>
      </c>
    </row>
    <row r="15">
      <c r="A15" s="44" t="n">
        <v>11</v>
      </c>
      <c r="B15" s="44" t="inlineStr">
        <is>
          <t>Park City</t>
        </is>
      </c>
      <c r="C15" s="44" t="inlineStr">
        <is>
          <t>WebEDI 856 approach for Fairfield/Model</t>
        </is>
      </c>
      <c r="D15" s="44" t="inlineStr">
        <is>
          <t>Concurrent (Mark)</t>
        </is>
      </c>
      <c r="E15" s="44" t="n"/>
      <c r="F15" s="44" t="inlineStr">
        <is>
          <t>Open</t>
        </is>
      </c>
      <c r="G15" s="44" t="n"/>
    </row>
    <row r="16">
      <c r="A16" s="44" t="n">
        <v>12</v>
      </c>
      <c r="B16" s="44" t="inlineStr">
        <is>
          <t>Commercial</t>
        </is>
      </c>
      <c r="C16" s="44" t="inlineStr">
        <is>
          <t>Per-TP fees / scope change for new flows</t>
        </is>
      </c>
      <c r="D16" s="44" t="inlineStr">
        <is>
          <t>Concurrent (John)</t>
        </is>
      </c>
      <c r="E16" s="44" t="n"/>
      <c r="F16" s="44" t="inlineStr">
        <is>
          <t>Open</t>
        </is>
      </c>
      <c r="G16" s="44" t="n"/>
    </row>
    <row r="17">
      <c r="A17" s="44" t="n">
        <v>13</v>
      </c>
      <c r="B17" s="44" t="inlineStr">
        <is>
          <t>Tracking</t>
        </is>
      </c>
      <c r="C17" s="44" t="inlineStr">
        <is>
          <t>Jira project and epics set up</t>
        </is>
      </c>
      <c r="D17" s="44" t="inlineStr">
        <is>
          <t>Concurrent (Mark + Michel)</t>
        </is>
      </c>
      <c r="E17" s="44" t="n"/>
      <c r="F17" s="44" t="inlineStr">
        <is>
          <t>Open</t>
        </is>
      </c>
      <c r="G17" s="44" t="n"/>
    </row>
    <row r="18">
      <c r="A18" s="44" t="n">
        <v>14</v>
      </c>
      <c r="B18" s="44" t="inlineStr">
        <is>
          <t>Client call</t>
        </is>
      </c>
      <c r="C18" s="44" t="inlineStr">
        <is>
          <t>Who covers which items with Adam</t>
        </is>
      </c>
      <c r="D18" s="44" t="inlineStr">
        <is>
          <t>Concurrent (Mark)</t>
        </is>
      </c>
      <c r="E18" s="44" t="n"/>
      <c r="F18" s="44" t="inlineStr">
        <is>
          <t>Open</t>
        </is>
      </c>
      <c r="G18" s="4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workbookViewId="0">
      <pane ySplit="4" topLeftCell="A10" activePane="bottomLeft" state="frozen"/>
      <selection pane="bottomLeft" activeCell="G19" sqref="G19"/>
    </sheetView>
  </sheetViews>
  <sheetFormatPr baseColWidth="8" defaultRowHeight="14.5"/>
  <cols>
    <col width="5" customWidth="1" min="1" max="1"/>
    <col width="12" customWidth="1" min="2" max="2"/>
    <col width="62" customWidth="1" min="3" max="3"/>
    <col width="24" customWidth="1" min="4" max="4"/>
    <col width="12" customWidth="1" min="5" max="6"/>
    <col width="50" customWidth="1" min="7" max="7"/>
    <col width="23.1796875" customWidth="1" min="8" max="8"/>
  </cols>
  <sheetData>
    <row r="1" ht="18.5" customHeight="1">
      <c r="A1" s="42" t="inlineStr">
        <is>
          <t>10/27 Client Meeting (Adam)</t>
        </is>
      </c>
    </row>
    <row r="2">
      <c r="A2" t="inlineStr">
        <is>
          <t>Agenda items to cover with Adam.</t>
        </is>
      </c>
    </row>
    <row r="3"/>
    <row r="4" ht="58" customHeight="1">
      <c r="A4" s="43" t="inlineStr">
        <is>
          <t>#</t>
        </is>
      </c>
      <c r="B4" s="43" t="inlineStr">
        <is>
          <t>Topic</t>
        </is>
      </c>
      <c r="C4" s="43" t="inlineStr">
        <is>
          <t>Item</t>
        </is>
      </c>
      <c r="D4" s="43" t="inlineStr">
        <is>
          <t>Owner</t>
        </is>
      </c>
      <c r="E4" s="43" t="inlineStr">
        <is>
          <t>Due date</t>
        </is>
      </c>
      <c r="F4" s="43" t="inlineStr">
        <is>
          <t>Status</t>
        </is>
      </c>
      <c r="G4" s="43" t="inlineStr">
        <is>
          <t>Notes</t>
        </is>
      </c>
      <c r="H4" s="45" t="inlineStr">
        <is>
          <t xml:space="preserve">Marks questions for Claude </t>
        </is>
      </c>
    </row>
    <row r="5" ht="43.5" customHeight="1">
      <c r="A5" s="44" t="n">
        <v>1</v>
      </c>
      <c r="B5" s="44" t="inlineStr">
        <is>
          <t>Costco</t>
        </is>
      </c>
      <c r="C5" s="44" t="inlineStr">
        <is>
          <t>Costco 10-digit vendor number (Orderful needs it)</t>
        </is>
      </c>
      <c r="D5" s="44" t="inlineStr">
        <is>
          <t>Shehadey (Adam)</t>
        </is>
      </c>
      <c r="E5" s="44" t="n"/>
      <c r="F5" s="44" t="inlineStr">
        <is>
          <t>Open</t>
        </is>
      </c>
      <c r="G5" s="44" t="inlineStr">
        <is>
          <t>OA: not needed for program/guidelines/scenarios. Needed before Costco EDI + SPS testing start. Post in OA thread when received.</t>
        </is>
      </c>
      <c r="H5" s="46" t="inlineStr">
        <is>
          <t xml:space="preserve">Why does Orderful need this? </t>
        </is>
      </c>
    </row>
    <row r="6" ht="29" customHeight="1">
      <c r="A6" s="44" t="n">
        <v>2</v>
      </c>
      <c r="B6" s="44" t="inlineStr">
        <is>
          <t>Costco</t>
        </is>
      </c>
      <c r="C6" s="44" t="inlineStr">
        <is>
          <t>Which Shehadey ID does Costco send 850s to (UMPQUA?)</t>
        </is>
      </c>
      <c r="D6" s="44" t="inlineStr">
        <is>
          <t>Shehadey (Adam)</t>
        </is>
      </c>
      <c r="E6" s="44" t="n"/>
      <c r="F6" s="44" t="inlineStr">
        <is>
          <t>Open</t>
        </is>
      </c>
      <c r="G6" s="44" t="n"/>
      <c r="H6" s="46" t="inlineStr">
        <is>
          <t xml:space="preserve">We are going to create a new ISA ID for Shehadey in Orderful that all the plants will consolidate under so this question should not be relevant going forward. Please confirm. Also please confirm the Trade request is using a net new ISA ID for Shehadey to send transactions from. </t>
        </is>
      </c>
    </row>
    <row r="7" ht="174" customHeight="1">
      <c r="A7" s="44" t="n">
        <v>3</v>
      </c>
      <c r="B7" s="44" t="inlineStr">
        <is>
          <t>Costco</t>
        </is>
      </c>
      <c r="C7" s="44" t="inlineStr">
        <is>
          <t>860s are rare (3 since May) - email notification only? How handled in ERMS?</t>
        </is>
      </c>
      <c r="D7" s="44" t="inlineStr">
        <is>
          <t>Shehadey (Adam)</t>
        </is>
      </c>
      <c r="E7" s="44" t="n"/>
      <c r="F7" s="44" t="inlineStr">
        <is>
          <t>Open</t>
        </is>
      </c>
      <c r="G7" s="44" t="n"/>
      <c r="H7" s="47" t="inlineStr">
        <is>
          <t xml:space="preserve">Add (email notification only) to you comment </t>
        </is>
      </c>
    </row>
    <row r="8" ht="29" customHeight="1">
      <c r="A8" s="44" t="n">
        <v>4</v>
      </c>
      <c r="B8" s="44" t="inlineStr">
        <is>
          <t>Costco</t>
        </is>
      </c>
      <c r="C8" s="44" t="inlineStr">
        <is>
          <t>820 / 824 from Costco - needed?</t>
        </is>
      </c>
      <c r="D8" s="44" t="inlineStr">
        <is>
          <t>Shehadey (Adam)</t>
        </is>
      </c>
      <c r="E8" s="44" t="n"/>
      <c r="F8" s="44" t="inlineStr">
        <is>
          <t>Open</t>
        </is>
      </c>
      <c r="G8" s="44" t="inlineStr">
        <is>
          <t>OA: 824 is in Costco testing. 820 has no test - set up and switched on after go-live.</t>
        </is>
      </c>
      <c r="H8" s="47" t="inlineStr">
        <is>
          <t xml:space="preserve">Help me remember what the 820 and the 824 do. </t>
        </is>
      </c>
    </row>
    <row r="9" ht="29" customHeight="1">
      <c r="A9" s="44" t="n">
        <v>5</v>
      </c>
      <c r="B9" s="44" t="inlineStr">
        <is>
          <t>Costco</t>
        </is>
      </c>
      <c r="C9" s="44" t="inlineStr">
        <is>
          <t>Outbound 852 to Costco (daily) - what creates it?</t>
        </is>
      </c>
      <c r="D9" s="44" t="inlineStr">
        <is>
          <t>Shehadey (Adam)</t>
        </is>
      </c>
      <c r="E9" s="44" t="n"/>
      <c r="F9" s="44" t="inlineStr">
        <is>
          <t>Open</t>
        </is>
      </c>
      <c r="G9" s="44" t="n"/>
      <c r="H9" s="47" t="inlineStr">
        <is>
          <t xml:space="preserve">What is the 852, why is it strange to see outbound and inbounds </t>
        </is>
      </c>
    </row>
    <row r="10" ht="43.5" customHeight="1">
      <c r="A10" s="44" t="n">
        <v>6</v>
      </c>
      <c r="B10" s="44" t="inlineStr">
        <is>
          <t>Costco</t>
        </is>
      </c>
      <c r="C10" s="44" t="inlineStr">
        <is>
          <t>103391843PCG: ~50 810s/day - what are these, who receives them?</t>
        </is>
      </c>
      <c r="D10" s="44" t="inlineStr">
        <is>
          <t>Shehadey (Adam)</t>
        </is>
      </c>
      <c r="E10" s="44" t="n"/>
      <c r="F10" s="44" t="inlineStr">
        <is>
          <t>Open</t>
        </is>
      </c>
      <c r="G10" s="44" t="n"/>
      <c r="H10" s="47" t="inlineStr">
        <is>
          <t xml:space="preserve">Look up this ISA ID and see who it is listed to. </t>
        </is>
      </c>
    </row>
    <row r="11" ht="29" customHeight="1">
      <c r="A11" s="44" t="n">
        <v>7</v>
      </c>
      <c r="B11" s="44" t="inlineStr">
        <is>
          <t>Costco</t>
        </is>
      </c>
      <c r="C11" s="44" t="inlineStr">
        <is>
          <t>Aptean 103391843 profile has no traffic - ok to drop?</t>
        </is>
      </c>
      <c r="D11" s="44" t="inlineStr">
        <is>
          <t>Shehadey (Adam)</t>
        </is>
      </c>
      <c r="E11" s="44" t="n"/>
      <c r="F11" s="44" t="inlineStr">
        <is>
          <t>Open</t>
        </is>
      </c>
      <c r="G11" s="44" t="n"/>
      <c r="H11" s="47" t="inlineStr">
        <is>
          <t>good</t>
        </is>
      </c>
    </row>
    <row r="12">
      <c r="A12" s="44" t="n">
        <v>8</v>
      </c>
      <c r="B12" s="44" t="inlineStr">
        <is>
          <t>Costco</t>
        </is>
      </c>
      <c r="C12" s="44" t="inlineStr">
        <is>
          <t>Costco certification status and go-live date</t>
        </is>
      </c>
      <c r="D12" s="44" t="inlineStr">
        <is>
          <t>Shehadey (Adam)</t>
        </is>
      </c>
      <c r="E12" s="44" t="n"/>
      <c r="F12" s="44" t="inlineStr">
        <is>
          <t>Open</t>
        </is>
      </c>
      <c r="G12" s="44" t="inlineStr">
        <is>
          <t>OA: Costco testing runs in SPS portal (810, 824, 850, 856, 860, 997). Starts once vendor # is in.</t>
        </is>
      </c>
      <c r="H12" s="47" t="inlineStr">
        <is>
          <t xml:space="preserve">I am not clear on what this means. Testing with Costco will need to be done once we get our integration set up and can run 850s in and 856 and 810s out from ERMS through it correct? Or is their Nauance that I am missing? </t>
        </is>
      </c>
    </row>
    <row r="13" ht="145" customHeight="1">
      <c r="A13" s="44" t="n">
        <v>9</v>
      </c>
      <c r="B13" s="44" t="inlineStr">
        <is>
          <t>Aptean</t>
        </is>
      </c>
      <c r="C13" s="44" t="inlineStr">
        <is>
          <t>Aptean shutoff / contract end date</t>
        </is>
      </c>
      <c r="D13" s="44" t="inlineStr">
        <is>
          <t>Shehadey (Adam)</t>
        </is>
      </c>
      <c r="E13" s="44" t="n"/>
      <c r="F13" s="44" t="inlineStr">
        <is>
          <t>Open</t>
        </is>
      </c>
      <c r="G13" s="44" t="n"/>
      <c r="H13" s="47" t="inlineStr">
        <is>
          <t xml:space="preserve">Was this mentioned in the previous client call? </t>
        </is>
      </c>
    </row>
    <row r="14" ht="29" customHeight="1">
      <c r="A14" s="44" t="n">
        <v>10</v>
      </c>
      <c r="B14" s="44" t="inlineStr">
        <is>
          <t>SFTP</t>
        </is>
      </c>
      <c r="C14" s="44" t="inlineStr">
        <is>
          <t>BizLink connection to Concurrent SFTP (CouchDrop) - timing</t>
        </is>
      </c>
      <c r="D14" s="44" t="inlineStr">
        <is>
          <t>Shehadey (Adam + Narvel)</t>
        </is>
      </c>
      <c r="E14" s="44" t="n"/>
      <c r="F14" s="44" t="inlineStr">
        <is>
          <t>Open</t>
        </is>
      </c>
      <c r="G14" s="44" t="n"/>
      <c r="H14" s="47" t="inlineStr">
        <is>
          <t xml:space="preserve">What is the question here? Just the scheduled trigger internval? </t>
        </is>
      </c>
    </row>
    <row r="15" ht="43.5" customHeight="1">
      <c r="A15" s="44" t="n">
        <v>11</v>
      </c>
      <c r="B15" s="44" t="inlineStr">
        <is>
          <t>Specs</t>
        </is>
      </c>
      <c r="C15" s="44" t="inlineStr">
        <is>
          <t>ERMS cross-reference table and IN 810 layout</t>
        </is>
      </c>
      <c r="D15" s="44" t="inlineStr">
        <is>
          <t>Shehadey (Adam)</t>
        </is>
      </c>
      <c r="E15" s="44" t="n"/>
      <c r="F15" s="44" t="inlineStr">
        <is>
          <t>Open</t>
        </is>
      </c>
      <c r="G15" s="44" t="n"/>
      <c r="H15" s="47" t="inlineStr">
        <is>
          <t xml:space="preserve">Is this what I discussed on the last call with Adam? </t>
        </is>
      </c>
    </row>
    <row r="16" ht="29" customHeight="1">
      <c r="A16" s="44" t="n">
        <v>12</v>
      </c>
      <c r="B16" s="44" t="inlineStr">
        <is>
          <t>Specs</t>
        </is>
      </c>
      <c r="C16" s="44" t="inlineStr">
        <is>
          <t>Park City translation doc + raw 850 behind flat file</t>
        </is>
      </c>
      <c r="D16" s="44" t="inlineStr">
        <is>
          <t>Shehadey (Adam)</t>
        </is>
      </c>
      <c r="E16" s="44" t="n"/>
      <c r="F16" s="44" t="inlineStr">
        <is>
          <t>Open</t>
        </is>
      </c>
      <c r="G16" s="44" t="n"/>
      <c r="H16" s="47" t="inlineStr">
        <is>
          <t xml:space="preserve">Why does this differ from what Adam has already shared with us. I think we said his 850 mapping word doc was enough for now, and I think he has already provided a flat file correct? </t>
        </is>
      </c>
    </row>
    <row r="17" ht="116" customHeight="1">
      <c r="A17" s="44" t="n">
        <v>13</v>
      </c>
      <c r="B17" s="44" t="inlineStr">
        <is>
          <t>Specs</t>
        </is>
      </c>
      <c r="C17" s="44" t="inlineStr">
        <is>
          <t>Current-state flow doc (Umpqua/SPS, Park City)</t>
        </is>
      </c>
      <c r="D17" s="44" t="inlineStr">
        <is>
          <t>Shehadey (Adam)</t>
        </is>
      </c>
      <c r="E17" s="44" t="n"/>
      <c r="F17" s="44" t="inlineStr">
        <is>
          <t>Open</t>
        </is>
      </c>
      <c r="G17" s="44" t="n"/>
      <c r="H17" s="47" t="inlineStr">
        <is>
          <t>Good</t>
        </is>
      </c>
    </row>
    <row r="18">
      <c r="A18" s="44" t="n">
        <v>14</v>
      </c>
      <c r="B18" s="44" t="inlineStr">
        <is>
          <t>Park City</t>
        </is>
      </c>
      <c r="C18" s="44" t="inlineStr">
        <is>
          <t>ReposiTrak AS2 copy of 850/852 - schedule call with Kelly</t>
        </is>
      </c>
      <c r="D18" s="44" t="inlineStr">
        <is>
          <t>Shehadey (Adam)</t>
        </is>
      </c>
      <c r="E18" s="44" t="n"/>
      <c r="F18" s="44" t="inlineStr">
        <is>
          <t>Open</t>
        </is>
      </c>
      <c r="G18" s="44" t="n"/>
      <c r="H18" s="47" t="inlineStr">
        <is>
          <t xml:space="preserve">Give me a brief summary of why this call is needed. </t>
        </is>
      </c>
    </row>
    <row r="19" ht="29" customHeight="1">
      <c r="A19" s="44" t="n">
        <v>15</v>
      </c>
      <c r="B19" s="44" t="inlineStr">
        <is>
          <t>Park City</t>
        </is>
      </c>
      <c r="C19" s="44" t="inlineStr">
        <is>
          <t>WebEDI 856s for Fairfield/Model - how to test</t>
        </is>
      </c>
      <c r="D19" s="44" t="inlineStr">
        <is>
          <t>Concurrent (Mark) + Adam</t>
        </is>
      </c>
      <c r="E19" s="44" t="n"/>
      <c r="F19" s="44" t="inlineStr">
        <is>
          <t>Open</t>
        </is>
      </c>
      <c r="G19" s="4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tabSelected="1" topLeftCell="A7" workbookViewId="0">
      <selection activeCell="D7" sqref="D7"/>
    </sheetView>
  </sheetViews>
  <sheetFormatPr baseColWidth="8" defaultRowHeight="14.5"/>
  <cols>
    <col width="6" customWidth="1" min="1" max="1"/>
    <col width="22" customWidth="1" min="2" max="2"/>
    <col width="66" customWidth="1" min="3" max="3"/>
    <col width="48" customWidth="1" min="4" max="4"/>
    <col width="12" customWidth="1" min="5" max="5"/>
    <col width="10" customWidth="1" min="6" max="6"/>
    <col width="18.54296875" customWidth="1" min="7" max="7"/>
  </cols>
  <sheetData>
    <row r="1" ht="18" customHeight="1">
      <c r="A1" s="18" t="inlineStr">
        <is>
          <t>Shehadey Foods — Internal Team Call (Concurrent)</t>
        </is>
      </c>
    </row>
    <row r="2">
      <c r="A2" s="19" t="inlineStr">
        <is>
          <t>Mark (PM) · John Weathers (sales) · Michel (engineer) · Mauricio (dev). Goal: agree who builds what for the Costco go-live.</t>
        </is>
      </c>
    </row>
    <row r="4">
      <c r="A4" s="20" t="inlineStr">
        <is>
          <t>Agenda (30 min)</t>
        </is>
      </c>
      <c r="B4" s="21" t="n"/>
      <c r="C4" s="21" t="n"/>
      <c r="D4" s="21" t="n"/>
      <c r="E4" s="21" t="n"/>
      <c r="F4" s="21" t="n"/>
    </row>
    <row r="5">
      <c r="A5" s="22" t="inlineStr">
        <is>
          <t>#</t>
        </is>
      </c>
      <c r="B5" s="22" t="inlineStr">
        <is>
          <t>Topic</t>
        </is>
      </c>
      <c r="C5" s="22" t="inlineStr">
        <is>
          <t>Lead</t>
        </is>
      </c>
      <c r="D5" s="22" t="inlineStr">
        <is>
          <t>Notes</t>
        </is>
      </c>
      <c r="E5" s="22" t="inlineStr">
        <is>
          <t>Notes</t>
        </is>
      </c>
      <c r="F5" s="22" t="inlineStr">
        <is>
          <t>Notes</t>
        </is>
      </c>
      <c r="G5" s="22" t="inlineStr">
        <is>
          <t xml:space="preserve">Mark Comments </t>
        </is>
      </c>
    </row>
    <row r="6" ht="37.5" customHeight="1">
      <c r="A6" s="23" t="n">
        <v>1</v>
      </c>
      <c r="B6" s="23" t="inlineStr">
        <is>
          <t>Where we are</t>
        </is>
      </c>
      <c r="C6" s="23" t="inlineStr">
        <is>
          <t>Mark</t>
        </is>
      </c>
      <c r="D6" s="23" t="inlineStr">
        <is>
          <t>Decisions from 10/20: Concurrent hosts SFTP, new Orderful ISA, Park City stays as-is, Costco first. Mapping drafts: 850 89%, 810 86%, 856 75%.</t>
        </is>
      </c>
      <c r="E6" s="23" t="n"/>
      <c r="F6" s="23" t="n"/>
      <c r="G6" s="30" t="inlineStr">
        <is>
          <t xml:space="preserve">Completed last call </t>
        </is>
      </c>
    </row>
    <row r="7" ht="37.5" customHeight="1">
      <c r="A7" s="23" t="n">
        <v>2</v>
      </c>
      <c r="B7" s="23" t="inlineStr">
        <is>
          <t>Commercial check</t>
        </is>
      </c>
      <c r="C7" s="23" t="inlineStr">
        <is>
          <t>John</t>
        </is>
      </c>
      <c r="D7" s="27" t="inlineStr">
        <is>
          <t>SFTP hosting cost; scope vs priced doc types (17 in use vs ~7 priced); Park City out of scope; WebEDI is manual for Fairfield/Model.</t>
        </is>
      </c>
      <c r="E7" s="23" t="n"/>
      <c r="F7" s="23" t="n"/>
    </row>
    <row r="8" ht="25" customHeight="1">
      <c r="A8" s="23" t="n">
        <v>3</v>
      </c>
      <c r="B8" s="23" t="inlineStr">
        <is>
          <t>Build plan and estimates</t>
        </is>
      </c>
      <c r="C8" s="23" t="inlineStr">
        <is>
          <t>Michel / Mauricio</t>
        </is>
      </c>
      <c r="D8" s="26" t="inlineStr">
        <is>
          <t>Tray workflows, SFTP, and the three Costco maps. What can be ready for Costco go-live?</t>
        </is>
      </c>
      <c r="E8" s="23" t="n"/>
      <c r="F8" s="23" t="n"/>
    </row>
    <row r="9" ht="25" customHeight="1">
      <c r="A9" s="23" t="n">
        <v>4</v>
      </c>
      <c r="B9" s="23" t="inlineStr">
        <is>
          <t>Blockers we can clear ourselves</t>
        </is>
      </c>
      <c r="C9" s="23" t="inlineStr">
        <is>
          <t>Mark</t>
        </is>
      </c>
      <c r="D9" s="23" t="inlineStr">
        <is>
          <t>Aptean login, ReposiTrak meeting, WebEDI test approach.</t>
        </is>
      </c>
      <c r="E9" s="23" t="n"/>
      <c r="F9" s="23" t="n"/>
    </row>
    <row r="10">
      <c r="A10" s="23" t="n">
        <v>5</v>
      </c>
      <c r="B10" s="23" t="inlineStr">
        <is>
          <t>Owners and dates</t>
        </is>
      </c>
      <c r="C10" s="23" t="inlineStr">
        <is>
          <t>Mark</t>
        </is>
      </c>
      <c r="D10" s="23" t="inlineStr">
        <is>
          <t>Fill in the table below.</t>
        </is>
      </c>
      <c r="E10" s="23" t="n"/>
      <c r="F10" s="23" t="n"/>
    </row>
    <row r="11">
      <c r="A11" s="20" t="inlineStr">
        <is>
          <t>Internal next steps</t>
        </is>
      </c>
      <c r="B11" s="21" t="n"/>
      <c r="C11" s="21" t="n"/>
      <c r="D11" s="21" t="n"/>
      <c r="E11" s="21" t="n"/>
      <c r="F11" s="21" t="n"/>
    </row>
    <row r="12" ht="39" customHeight="1">
      <c r="A12" s="24" t="inlineStr">
        <is>
          <t>#</t>
        </is>
      </c>
      <c r="B12" s="24" t="inlineStr">
        <is>
          <t>Owner</t>
        </is>
      </c>
      <c r="C12" s="24" t="inlineStr">
        <is>
          <t>Action</t>
        </is>
      </c>
      <c r="D12" s="24" t="inlineStr">
        <is>
          <t>Why / input</t>
        </is>
      </c>
      <c r="E12" s="24" t="inlineStr">
        <is>
          <t>Due</t>
        </is>
      </c>
      <c r="F12" s="24" t="inlineStr">
        <is>
          <t>Status</t>
        </is>
      </c>
      <c r="G12" s="24" t="inlineStr">
        <is>
          <t xml:space="preserve">Mark Comments </t>
        </is>
      </c>
    </row>
    <row r="13" ht="25" customHeight="1">
      <c r="A13" s="23" t="n">
        <v>1</v>
      </c>
      <c r="B13" s="23" t="inlineStr">
        <is>
          <t>Michel</t>
        </is>
      </c>
      <c r="C13" s="23" t="inlineStr">
        <is>
          <t>Stand up Concurrent-hosted SFTP (sandbox first): inbound/outbound folders, per-plant or per-doc-type layout, SSH key or password, IP allowlist</t>
        </is>
      </c>
      <c r="D13" s="23" t="inlineStr">
        <is>
          <t>Client connects with BizLink (file mover only)</t>
        </is>
      </c>
      <c r="E13" s="25" t="n"/>
      <c r="F13" s="25" t="inlineStr">
        <is>
          <t>Open</t>
        </is>
      </c>
      <c r="G13" s="32" t="n"/>
    </row>
    <row r="14" ht="25" customHeight="1">
      <c r="A14" s="23" t="n">
        <v>2</v>
      </c>
      <c r="B14" s="23" t="inlineStr">
        <is>
          <t>Michel</t>
        </is>
      </c>
      <c r="C14" s="23" t="inlineStr">
        <is>
          <t>Write a one-page BizLink connection guide for Shehadey (host, folders, naming, pickup/archive rules)</t>
        </is>
      </c>
      <c r="D14" s="23" t="inlineStr">
        <is>
          <t>Client asked us to tell them the folder structure</t>
        </is>
      </c>
      <c r="E14" s="25" t="n"/>
      <c r="F14" s="25" t="inlineStr">
        <is>
          <t>Open</t>
        </is>
      </c>
    </row>
    <row r="15" ht="37.5" customHeight="1">
      <c r="A15" s="23" t="n">
        <v>3</v>
      </c>
      <c r="B15" s="23" t="inlineStr">
        <is>
          <t>Michel</t>
        </is>
      </c>
      <c r="C15" s="23" t="inlineStr">
        <is>
          <t>Design the Tray flows: Orderful API → 850 flat file → SFTP; SFTP → 810/856 flat file → Orderful API</t>
        </is>
      </c>
      <c r="D15" s="23" t="inlineStr">
        <is>
          <t>See integration flow page</t>
        </is>
      </c>
      <c r="E15" s="25" t="n"/>
      <c r="F15" s="25" t="inlineStr">
        <is>
          <t>Open</t>
        </is>
      </c>
      <c r="G15" s="31" t="inlineStr">
        <is>
          <t xml:space="preserve">Mark to Share RC Moore Tray Work Space </t>
        </is>
      </c>
    </row>
    <row r="16" ht="25" customHeight="1">
      <c r="A16" s="23" t="n">
        <v>4</v>
      </c>
      <c r="B16" s="23" t="inlineStr">
        <is>
          <t>Michel</t>
        </is>
      </c>
      <c r="C16" s="27" t="inlineStr">
        <is>
          <t>Design error handling and alerts: ERMS drops a whole file on one bad record and fails silently.</t>
        </is>
      </c>
      <c r="D16" s="23" t="inlineStr">
        <is>
          <t>Decide: hold and alert, or write and let ERMS reject</t>
        </is>
      </c>
      <c r="E16" s="25" t="n"/>
      <c r="F16" s="25" t="inlineStr">
        <is>
          <t>Open</t>
        </is>
      </c>
      <c r="G16" s="28" t="inlineStr">
        <is>
          <t xml:space="preserve">Is this a client question? </t>
        </is>
      </c>
    </row>
    <row r="17" ht="25" customHeight="1">
      <c r="A17" s="23" t="n">
        <v>5</v>
      </c>
      <c r="B17" s="23" t="inlineStr">
        <is>
          <t>Mauricio</t>
        </is>
      </c>
      <c r="C17" s="23" t="inlineStr">
        <is>
          <t>Build the 850 writer (Orderful 850 JSON → ERMS pipe file: HDR/HST/HBT/HCM/HAL/LDT/LAL/TOT)</t>
        </is>
      </c>
      <c r="D17" s="23" t="inlineStr">
        <is>
          <t>outputs/2026-10-21-costco-mapping-workbook.xlsx, 850 tab</t>
        </is>
      </c>
      <c r="E17" s="25" t="n"/>
      <c r="F17" s="25" t="inlineStr">
        <is>
          <t>Open</t>
        </is>
      </c>
      <c r="G17" s="32" t="n"/>
    </row>
    <row r="18" ht="25" customHeight="1">
      <c r="A18" s="23" t="n">
        <v>6</v>
      </c>
      <c r="B18" s="23" t="inlineStr">
        <is>
          <t>Mauricio</t>
        </is>
      </c>
      <c r="C18" s="23" t="inlineStr">
        <is>
          <t>Build the 810 and 856 parsers: split multi-invoice batches (HDR…TOT); group 856 pallets by HI field 26</t>
        </is>
      </c>
      <c r="D18" s="23" t="inlineStr">
        <is>
          <t>810 and 856 tabs; client templates in specs/810 and specs/856</t>
        </is>
      </c>
      <c r="E18" s="25" t="n"/>
      <c r="F18" s="25" t="inlineStr">
        <is>
          <t>Open</t>
        </is>
      </c>
      <c r="G18" s="32" t="n"/>
    </row>
    <row r="19" ht="25" customHeight="1">
      <c r="A19" s="23" t="n">
        <v>7</v>
      </c>
      <c r="B19" s="23" t="inlineStr">
        <is>
          <t>Mauricio</t>
        </is>
      </c>
      <c r="C19" s="23" t="inlineStr">
        <is>
          <t>Test against real samples: 59 850 flat files, EDITESTredacted.810, EDI_UW.856, EDI_RA_redacted.856</t>
        </is>
      </c>
      <c r="D19" s="23" t="inlineStr">
        <is>
          <t>specs/*/samples in the repo</t>
        </is>
      </c>
      <c r="E19" s="25" t="n"/>
      <c r="F19" s="25" t="inlineStr">
        <is>
          <t>Open</t>
        </is>
      </c>
      <c r="G19" s="32" t="n"/>
    </row>
    <row r="20" ht="25" customHeight="1">
      <c r="A20" s="23" t="n">
        <v>8</v>
      </c>
      <c r="B20" s="23" t="inlineStr">
        <is>
          <t>Michel + Mauricio</t>
        </is>
      </c>
      <c r="C20" s="23" t="inlineStr">
        <is>
          <t>Review inferred (🟡) and open (❓) rows; send one consolidated question list to Adam via Mark</t>
        </is>
      </c>
      <c r="D20" s="23" t="inlineStr">
        <is>
          <t>specs/*/questions.md</t>
        </is>
      </c>
      <c r="E20" s="25" t="n"/>
      <c r="F20" s="25" t="inlineStr">
        <is>
          <t>Open</t>
        </is>
      </c>
      <c r="G20" s="32" t="n"/>
    </row>
    <row r="21" ht="25" customHeight="1">
      <c r="A21" s="23" t="n">
        <v>9</v>
      </c>
      <c r="B21" s="23" t="inlineStr">
        <is>
          <t>Mark</t>
        </is>
      </c>
      <c r="C21" s="23" t="inlineStr">
        <is>
          <t>Fix Aptean access with Adam (saved URL/login not working); pull a Costco raw 850 + matching flat file</t>
        </is>
      </c>
      <c r="D21" s="23" t="inlineStr">
        <is>
          <t>Turns 850 inferred rows into verified</t>
        </is>
      </c>
      <c r="E21" s="25" t="n"/>
      <c r="F21" s="25" t="inlineStr">
        <is>
          <t>Open</t>
        </is>
      </c>
      <c r="G21" s="33" t="n"/>
    </row>
    <row r="22" ht="25" customHeight="1">
      <c r="A22" s="23" t="n">
        <v>10</v>
      </c>
      <c r="B22" s="23" t="inlineStr">
        <is>
          <t>Mark</t>
        </is>
      </c>
      <c r="C22" s="23" t="inlineStr">
        <is>
          <t>Join Kelly/Adam meeting on ReposiTrak AS2 (Park City Costco 850s into Orderful)</t>
        </is>
      </c>
      <c r="D22" s="23" t="inlineStr">
        <is>
          <t>Needed for WebEDI 856s at Fairfield/Model</t>
        </is>
      </c>
      <c r="E22" s="25" t="n"/>
      <c r="F22" s="25" t="inlineStr">
        <is>
          <t>Open</t>
        </is>
      </c>
    </row>
    <row r="23">
      <c r="A23" s="23" t="n">
        <v>11</v>
      </c>
      <c r="B23" s="23" t="inlineStr">
        <is>
          <t>Mark</t>
        </is>
      </c>
      <c r="C23" s="23" t="inlineStr">
        <is>
          <t>Confirm with Orderful how to test the WebEDI 856 setup for Costco</t>
        </is>
      </c>
      <c r="D23" s="23" t="inlineStr">
        <is>
          <t>Mark's note on Next Steps</t>
        </is>
      </c>
      <c r="E23" s="25" t="n"/>
      <c r="F23" s="25" t="inlineStr">
        <is>
          <t>Open</t>
        </is>
      </c>
    </row>
    <row r="24">
      <c r="A24" s="23" t="n">
        <v>12</v>
      </c>
      <c r="B24" s="23" t="inlineStr">
        <is>
          <t>Mark</t>
        </is>
      </c>
      <c r="C24" s="23" t="inlineStr">
        <is>
          <t>Push trade requests (new Orderful ISA, Costco first)</t>
        </is>
      </c>
      <c r="D24" s="23" t="n"/>
      <c r="E24" s="25" t="n"/>
      <c r="F24" s="25" t="inlineStr">
        <is>
          <t>Open</t>
        </is>
      </c>
    </row>
    <row r="25">
      <c r="A25" s="23" t="n">
        <v>13</v>
      </c>
      <c r="B25" s="23" t="inlineStr">
        <is>
          <t>John</t>
        </is>
      </c>
      <c r="C25" s="23" t="inlineStr">
        <is>
          <t>Confirm SFTP hosting cost and whether it changes the quote</t>
        </is>
      </c>
      <c r="D25" s="23" t="inlineStr">
        <is>
          <t>Client prefers Concurrent-hosted</t>
        </is>
      </c>
      <c r="E25" s="25" t="n"/>
      <c r="F25" s="25" t="inlineStr">
        <is>
          <t>Open</t>
        </is>
      </c>
      <c r="G25" s="29" t="n"/>
    </row>
    <row r="26" ht="25" customHeight="1">
      <c r="A26" s="23" t="n">
        <v>14</v>
      </c>
      <c r="B26" s="23" t="inlineStr">
        <is>
          <t>John</t>
        </is>
      </c>
      <c r="C26" s="23" t="inlineStr">
        <is>
          <t>Check scope vs contract: doc types priced vs in use; Umpqua 856 approach (RA has no SSCC)</t>
        </is>
      </c>
      <c r="D26" s="23" t="inlineStr">
        <is>
          <t>Avoid unpriced work</t>
        </is>
      </c>
      <c r="E26" s="25" t="n"/>
      <c r="F26" s="25" t="inlineStr">
        <is>
          <t>Open</t>
        </is>
      </c>
      <c r="G26" s="29" t="n"/>
    </row>
    <row r="27">
      <c r="A27" s="23" t="n">
        <v>15</v>
      </c>
      <c r="B27" s="23" t="inlineStr">
        <is>
          <t>Team</t>
        </is>
      </c>
      <c r="C27" s="23" t="inlineStr">
        <is>
          <t>Agree a Costco target date to give the client, once certification date is known</t>
        </is>
      </c>
      <c r="D27" s="23" t="inlineStr">
        <is>
          <t>Costco sets go-live after certification</t>
        </is>
      </c>
      <c r="E27" s="25" t="n"/>
      <c r="F27" s="25" t="inlineStr">
        <is>
          <t>Open</t>
        </is>
      </c>
      <c r="G27" s="29" t="n"/>
    </row>
    <row r="28" ht="50" customHeight="1">
      <c r="A28" s="23" t="n">
        <v>16</v>
      </c>
      <c r="B28" s="23" t="inlineStr">
        <is>
          <t>John</t>
        </is>
      </c>
      <c r="C28" s="23" t="inlineStr">
        <is>
          <t>Pull the signed Orderful/Concurrent order form or SOW and confirm what's priced: one-time fee per partner, ongoing subscription per partner, per-doc-type fees, Concurrent onboarding services, and the $5,500/doc type Tray build</t>
        </is>
      </c>
      <c r="D28" s="23" t="inlineStr">
        <is>
          <t>Intake brief only names $5,500/doc type, VAN 3¢/transaction, $5,400/mo year-4 renewal at 45 partners, 3-year ramp. Per-partner fees aren't spelled out anywhere we've seen.</t>
        </is>
      </c>
      <c r="E28" s="25" t="n"/>
      <c r="F28" s="25" t="inlineStr">
        <is>
          <t>Open</t>
        </is>
      </c>
      <c r="G28" s="29" t="n"/>
    </row>
    <row r="29" ht="62.5" customHeight="1">
      <c r="A29" s="23" t="n">
        <v>17</v>
      </c>
      <c r="B29" s="23" t="inlineStr">
        <is>
          <t>John</t>
        </is>
      </c>
      <c r="C29" s="23" t="inlineStr">
        <is>
          <t>Confirm which doc types are in the signed scope (sales list: 850, 875, 880, 810, 856, 855, 945). 945 isn't in the client inventory; 894 is used by 3 partners but isn't on the sales list</t>
        </is>
      </c>
      <c r="D29" s="23" t="inlineStr">
        <is>
          <t>Questions tab</t>
        </is>
      </c>
      <c r="E29" s="25" t="n"/>
      <c r="F29" s="25" t="inlineStr">
        <is>
          <t>Open</t>
        </is>
      </c>
      <c r="G29" s="29" t="n"/>
    </row>
    <row r="30" ht="25" customHeight="1">
      <c r="A30" s="23" t="n">
        <v>18</v>
      </c>
      <c r="B30" s="23" t="inlineStr">
        <is>
          <t>Mark + Michel</t>
        </is>
      </c>
      <c r="C30" s="23" t="inlineStr">
        <is>
          <t>Set up Jira tracking (Mark: project, epics per milestone, PM tasks; Michel: technical build tickets)</t>
        </is>
      </c>
      <c r="D30" s="23" t="inlineStr">
        <is>
          <t>Milestones on the Next Steps tab</t>
        </is>
      </c>
      <c r="E30" s="25" t="n"/>
      <c r="F30" s="25" t="inlineStr">
        <is>
          <t>Open</t>
        </is>
      </c>
      <c r="G30" s="29" t="n"/>
    </row>
    <row r="31">
      <c r="A31" s="20" t="inlineStr">
        <is>
          <t>Risks to discuss</t>
        </is>
      </c>
      <c r="B31" s="21" t="n"/>
      <c r="C31" s="21" t="n"/>
      <c r="D31" s="21" t="n"/>
      <c r="E31" s="21" t="n"/>
      <c r="F31" s="21" t="n"/>
    </row>
    <row r="32" ht="62.5" customHeight="1">
      <c r="A32" s="23" t="inlineStr">
        <is>
          <t>—</t>
        </is>
      </c>
      <c r="B32" s="27" t="inlineStr">
        <is>
          <t>Costco go-live may come fast after certification; SPS cost (~$300–400/month) adds pressure</t>
        </is>
      </c>
      <c r="C32" s="23" t="n"/>
      <c r="D32" s="23" t="n"/>
      <c r="E32" s="23" t="n"/>
      <c r="F32" s="23" t="n"/>
    </row>
  </sheetData>
  <pageMargins left="0.75" right="0.75" top="1" bottom="1" header="0.5" footer="0.5"/>
  <pageSetup orientation="portrait" horizontalDpi="300" verticalDpi="300"/>
</worksheet>
</file>

<file path=xl/worksheets/sheet5.xml><?xml version="1.0" encoding="utf-8"?>
<worksheet xmlns="http://schemas.openxmlformats.org/spreadsheetml/2006/main">
  <sheetPr>
    <outlinePr summaryBelow="1" summaryRight="1"/>
    <pageSetUpPr/>
  </sheetPr>
  <dimension ref="A1:I37"/>
  <sheetViews>
    <sheetView zoomScaleNormal="100" workbookViewId="0">
      <pane ySplit="4" topLeftCell="A9" activePane="bottomLeft" state="frozen"/>
      <selection pane="bottomLeft" activeCell="D20" sqref="D20"/>
    </sheetView>
  </sheetViews>
  <sheetFormatPr baseColWidth="8" defaultColWidth="8.6328125" defaultRowHeight="14.5"/>
  <cols>
    <col width="5" customWidth="1" min="1" max="1"/>
    <col width="10" customWidth="1" min="2" max="2"/>
    <col width="18" customWidth="1" min="3" max="3"/>
    <col width="52" customWidth="1" min="4" max="4"/>
    <col width="46" customWidth="1" min="5" max="5"/>
    <col width="14" customWidth="1" min="6" max="6"/>
    <col width="58" customWidth="1" min="7" max="7"/>
    <col width="12" customWidth="1" min="8" max="8"/>
    <col width="16.6328125" customWidth="1" min="9" max="9"/>
  </cols>
  <sheetData>
    <row r="1" ht="18" customHeight="1">
      <c r="A1" s="1" t="inlineStr">
        <is>
          <t>Shehadey Foods — Questions</t>
        </is>
      </c>
    </row>
    <row r="2">
      <c r="A2" s="2" t="inlineStr">
        <is>
          <t>Open and follow-up questions first; answered questions (gray) at the bottom. Updated from the 10/20 call transcript.</t>
        </is>
      </c>
    </row>
    <row r="4" ht="52" customHeight="1">
      <c r="A4" s="7" t="inlineStr">
        <is>
          <t>#</t>
        </is>
      </c>
      <c r="B4" s="7" t="inlineStr">
        <is>
          <t>Priority</t>
        </is>
      </c>
      <c r="C4" s="7" t="inlineStr">
        <is>
          <t>Topic</t>
        </is>
      </c>
      <c r="D4" s="7" t="inlineStr">
        <is>
          <t>Question</t>
        </is>
      </c>
      <c r="E4" s="7" t="inlineStr">
        <is>
          <t>Context</t>
        </is>
      </c>
      <c r="F4" s="7" t="inlineStr">
        <is>
          <t>Owner</t>
        </is>
      </c>
      <c r="G4" s="7" t="inlineStr">
        <is>
          <t>Answer / notes</t>
        </is>
      </c>
      <c r="H4" s="7" t="inlineStr">
        <is>
          <t>Status</t>
        </is>
      </c>
      <c r="I4" s="17" t="inlineStr">
        <is>
          <t>10/22 or after Mark notes</t>
        </is>
      </c>
    </row>
    <row r="5" ht="112.5" customHeight="1">
      <c r="A5" s="8" t="n">
        <v>1</v>
      </c>
      <c r="B5" s="8" t="inlineStr">
        <is>
          <t>Critical</t>
        </is>
      </c>
      <c r="C5" s="8" t="inlineStr">
        <is>
          <t>Files</t>
        </is>
      </c>
      <c r="D5" s="8" t="inlineStr">
        <is>
          <t>Can you send a Costco raw 850 and the flat file Aptean produced from it (Umpqua/SPS)? Or confirm we should pull both from Aptean ourselves.</t>
        </is>
      </c>
      <c r="E5" s="8" t="inlineStr">
        <is>
          <t>Only Walmart/Sam's raw 850s were uploaded. A Costco pair takes the 850 mapping from ~89% to near 100%.</t>
        </is>
      </c>
      <c r="F5" s="8" t="inlineStr">
        <is>
          <t>Adam</t>
        </is>
      </c>
      <c r="G5" s="9" t="inlineStr">
        <is>
          <t>Mark to try pulling from Aptean first using the credentials in the Orderful credential vault.</t>
        </is>
      </c>
      <c r="H5" s="9" t="inlineStr">
        <is>
          <t>Follow-up</t>
        </is>
      </c>
      <c r="I5" s="14" t="inlineStr">
        <is>
          <t xml:space="preserve">Mark to follow up with Adam - log in saved in Orderful is not working </t>
        </is>
      </c>
    </row>
    <row r="6" ht="200" customHeight="1">
      <c r="A6" s="8" t="n">
        <v>2</v>
      </c>
      <c r="B6" s="8" t="inlineStr">
        <is>
          <t>Critical</t>
        </is>
      </c>
      <c r="C6" s="8" t="inlineStr">
        <is>
          <t>Costco 856 (Park City plants)</t>
        </is>
      </c>
      <c r="D6" s="8" t="inlineStr">
        <is>
          <t>Can Park City / ReposiTrak send a copy of the Costco 850 (or 852) to Orderful over AS2?</t>
        </is>
      </c>
      <c r="E6" s="8" t="inlineStr">
        <is>
          <t>Without an 850 in Orderful, WebEDI can't build the 856 for Fairfield and Model.</t>
        </is>
      </c>
      <c r="F6" s="8" t="inlineStr">
        <is>
          <t>Adam</t>
        </is>
      </c>
      <c r="G6" s="9" t="inlineStr">
        <is>
          <t>Adam to contact Park City / ReposiTrak.</t>
        </is>
      </c>
      <c r="H6" s="9" t="inlineStr">
        <is>
          <t>Follow-up</t>
        </is>
      </c>
      <c r="I6" s="14" t="inlineStr">
        <is>
          <t>Adam emailed Kelly asking about how we could connecto to ReposiTrak via AS2. She requested a time to meet</t>
        </is>
      </c>
    </row>
    <row r="7" ht="37.5" customHeight="1">
      <c r="A7" s="8" t="n">
        <v>3</v>
      </c>
      <c r="B7" s="8" t="inlineStr">
        <is>
          <t>Critical</t>
        </is>
      </c>
      <c r="C7" s="8" t="inlineStr">
        <is>
          <t>Costco go-live</t>
        </is>
      </c>
      <c r="D7" s="8" t="inlineStr">
        <is>
          <t>What is the Costco certification status and target go-live date?</t>
        </is>
      </c>
      <c r="E7" s="8" t="inlineStr">
        <is>
          <t>Certification target of 10/15 was missed; Costco sets go-live after certification. SPS costs $100/vendor/month and is growing.</t>
        </is>
      </c>
      <c r="F7" s="8" t="inlineStr">
        <is>
          <t>Adam</t>
        </is>
      </c>
      <c r="G7" s="9" t="n"/>
      <c r="H7" s="9" t="inlineStr">
        <is>
          <t>Open</t>
        </is>
      </c>
    </row>
    <row r="8" ht="37.5" customHeight="1">
      <c r="A8" s="8" t="n">
        <v>4</v>
      </c>
      <c r="B8" s="8" t="inlineStr">
        <is>
          <t>Critical</t>
        </is>
      </c>
      <c r="C8" s="8" t="inlineStr">
        <is>
          <t>Cross-reference</t>
        </is>
      </c>
      <c r="D8" s="8" t="inlineStr">
        <is>
          <t>Can you send the ERMS cross-reference table (store/ship-to and item cross-references)?</t>
        </is>
      </c>
      <c r="E8" s="8" t="inlineStr">
        <is>
          <t>Confirmed on the call that ERMS uses a cross-reference table (e.g., store 482). One miss drops the whole file.</t>
        </is>
      </c>
      <c r="F8" s="8" t="inlineStr">
        <is>
          <t>Adam / Narvel</t>
        </is>
      </c>
      <c r="G8" s="9" t="n"/>
      <c r="H8" s="9" t="inlineStr">
        <is>
          <t>Open</t>
        </is>
      </c>
    </row>
    <row r="9" ht="212.5" customHeight="1">
      <c r="A9" s="8" t="n">
        <v>5</v>
      </c>
      <c r="B9" s="8" t="inlineStr">
        <is>
          <t>Critical</t>
        </is>
      </c>
      <c r="C9" s="8" t="inlineStr">
        <is>
          <t>Specs</t>
        </is>
      </c>
      <c r="D9" s="8" t="inlineStr">
        <is>
          <t>Is there an 'IN 810 file layout' document (and equivalents for the 850/856)? Your 810 template refers to it.</t>
        </is>
      </c>
      <c r="E9" s="8" t="inlineStr">
        <is>
          <t>Would close several unknown header fields (810 HDR 14, 18, 19, 28; 856 HDR 13–18).</t>
        </is>
      </c>
      <c r="F9" s="8" t="inlineStr">
        <is>
          <t>Adam</t>
        </is>
      </c>
      <c r="G9" s="9" t="n"/>
      <c r="H9" s="9" t="inlineStr">
        <is>
          <t>Open</t>
        </is>
      </c>
      <c r="I9" s="14" t="inlineStr">
        <is>
          <t>Short question to Adam - are there any other flat file specs (810, 856, 850, 852) other than those provided?</t>
        </is>
      </c>
    </row>
    <row r="10" ht="75" customHeight="1">
      <c r="A10" s="10" t="n">
        <v>6</v>
      </c>
      <c r="B10" s="11" t="inlineStr">
        <is>
          <t>High</t>
        </is>
      </c>
      <c r="C10" s="10" t="inlineStr">
        <is>
          <t>Doc type scope</t>
        </is>
      </c>
      <c r="D10" s="10" t="inlineStr">
        <is>
          <t>Does ERMS import any of the 860, 876, 895, 820, 812, 864 or 824 today, or does Aptean just receive them?</t>
        </is>
      </c>
      <c r="E10" s="10" t="inlineStr">
        <is>
          <t>Decides which of the 17 doc types in use need an ERMS mapping. 852 confirmed as no mapping (10/20). Likely no mapping: 997, 816; possibly 820/812/864/824 if AR can use Orderful's UI or alerts.</t>
        </is>
      </c>
      <c r="F10" s="10" t="inlineStr">
        <is>
          <t>Adam / Narvel</t>
        </is>
      </c>
      <c r="G10" s="9" t="n"/>
      <c r="H10" s="9" t="inlineStr">
        <is>
          <t>Open</t>
        </is>
      </c>
      <c r="I10" s="15" t="n"/>
    </row>
    <row r="11" ht="75" customHeight="1">
      <c r="A11" s="10" t="n">
        <v>7</v>
      </c>
      <c r="B11" s="11" t="inlineStr">
        <is>
          <t>High</t>
        </is>
      </c>
      <c r="C11" s="10" t="inlineStr">
        <is>
          <t>Aptean</t>
        </is>
      </c>
      <c r="D11" s="10" t="inlineStr">
        <is>
          <t>Does Aptean apply partner-specific logic or cross-references on top of the ERMS layout?</t>
        </is>
      </c>
      <c r="E11" s="10" t="inlineStr">
        <is>
          <t>Adam: Aptean maps X12 to what ERMS needs; anything extra is ignored. Partner-specific rules not confirmed.</t>
        </is>
      </c>
      <c r="F11" s="10" t="inlineStr">
        <is>
          <t>Adam</t>
        </is>
      </c>
      <c r="G11" s="9" t="inlineStr">
        <is>
          <t>Partly answered; we'll check maps in Aptean.</t>
        </is>
      </c>
      <c r="H11" s="9" t="inlineStr">
        <is>
          <t>Follow-up</t>
        </is>
      </c>
      <c r="I11" s="15" t="inlineStr">
        <is>
          <t>Gain access and check maps in Aptean</t>
        </is>
      </c>
    </row>
    <row r="12" ht="25" customHeight="1">
      <c r="A12" s="10" t="n">
        <v>8</v>
      </c>
      <c r="B12" s="11" t="inlineStr">
        <is>
          <t>High</t>
        </is>
      </c>
      <c r="C12" s="10" t="inlineStr">
        <is>
          <t>ERMS import</t>
        </is>
      </c>
      <c r="D12" s="10" t="inlineStr">
        <is>
          <t>Which fields must be populated for ERMS to import (field level, not just record types)?</t>
        </is>
      </c>
      <c r="E12" s="10" t="inlineStr">
        <is>
          <t>Adam: ERMS needs only the HDR/HST/HBT/HCM/LDT/TOT records; other data ignored. Field-level rules still unknown.</t>
        </is>
      </c>
      <c r="F12" s="10" t="inlineStr">
        <is>
          <t>Adam</t>
        </is>
      </c>
      <c r="G12" s="9" t="inlineStr">
        <is>
          <t>Record-level answer only.</t>
        </is>
      </c>
      <c r="H12" s="9" t="inlineStr">
        <is>
          <t>Follow-up</t>
        </is>
      </c>
      <c r="I12" s="15" t="inlineStr">
        <is>
          <t>Gain access and check maps in Aptean</t>
        </is>
      </c>
    </row>
    <row r="13" ht="25" customHeight="1">
      <c r="A13" s="10" t="n">
        <v>9</v>
      </c>
      <c r="B13" s="11" t="inlineStr">
        <is>
          <t>High</t>
        </is>
      </c>
      <c r="C13" s="10" t="inlineStr">
        <is>
          <t>ERMS import</t>
        </is>
      </c>
      <c r="D13" s="10" t="inlineStr">
        <is>
          <t>How should Tray handle an order missing required data: write the file anyway and let ERMS reject it, or hold it and alert?</t>
        </is>
      </c>
      <c r="E13" s="10" t="inlineStr">
        <is>
          <t>ERMS drops the whole file on an error and failures are silent.</t>
        </is>
      </c>
      <c r="F13" s="10" t="inlineStr">
        <is>
          <t>Adam / John</t>
        </is>
      </c>
      <c r="G13" s="9" t="n"/>
      <c r="H13" s="9" t="inlineStr">
        <is>
          <t>Open</t>
        </is>
      </c>
    </row>
    <row r="14" ht="25" customHeight="1">
      <c r="A14" s="10" t="n">
        <v>10</v>
      </c>
      <c r="B14" s="11" t="inlineStr">
        <is>
          <t>High</t>
        </is>
      </c>
      <c r="C14" s="10" t="inlineStr">
        <is>
          <t>ERMS import</t>
        </is>
      </c>
      <c r="D14" s="10" t="inlineStr">
        <is>
          <t>Does ERMS have a test environment, or a way to keep test 850s out of production?</t>
        </is>
      </c>
      <c r="E14" s="10" t="n"/>
      <c r="F14" s="10" t="inlineStr">
        <is>
          <t>Adam</t>
        </is>
      </c>
      <c r="G14" s="9" t="n"/>
      <c r="H14" s="9" t="inlineStr">
        <is>
          <t>Open</t>
        </is>
      </c>
    </row>
    <row r="15" ht="25" customHeight="1">
      <c r="A15" s="10" t="n">
        <v>11</v>
      </c>
      <c r="B15" s="11" t="inlineStr">
        <is>
          <t>High</t>
        </is>
      </c>
      <c r="C15" s="10" t="inlineStr">
        <is>
          <t>856</t>
        </is>
      </c>
      <c r="D15" s="10" t="inlineStr">
        <is>
          <t>For Umpqua Costco, will the 856 come from the RA program (no SSCC) or manual WebEDI? Costco requires SSCC labels.</t>
        </is>
      </c>
      <c r="E15" s="10" t="inlineStr">
        <is>
          <t>Umpqua has no WMS; RA-style data can't show pallets or short ships.</t>
        </is>
      </c>
      <c r="F15" s="10" t="inlineStr">
        <is>
          <t>Adam</t>
        </is>
      </c>
      <c r="G15" s="9" t="n"/>
      <c r="H15" s="9" t="inlineStr">
        <is>
          <t>Open</t>
        </is>
      </c>
    </row>
    <row r="16" ht="25" customHeight="1">
      <c r="A16" s="10" t="n">
        <v>12</v>
      </c>
      <c r="B16" s="11" t="inlineStr">
        <is>
          <t>High</t>
        </is>
      </c>
      <c r="C16" s="10" t="inlineStr">
        <is>
          <t>856</t>
        </is>
      </c>
      <c r="D16" s="10" t="inlineStr">
        <is>
          <t>Which flat file field is the true shipped quantity (HI 13 vs HI 14)? Where do ship-from, carrier, BOL and weight come from?</t>
        </is>
      </c>
      <c r="E16" s="10" t="inlineStr">
        <is>
          <t>HI 14 is 0 in the UW sample; no source for N1*SF, TD5, REF*BM, TD1.</t>
        </is>
      </c>
      <c r="F16" s="10" t="inlineStr">
        <is>
          <t>Adam</t>
        </is>
      </c>
      <c r="G16" s="9" t="n"/>
      <c r="H16" s="9" t="inlineStr">
        <is>
          <t>Open</t>
        </is>
      </c>
    </row>
    <row r="17" ht="25" customHeight="1">
      <c r="A17" s="10" t="n">
        <v>13</v>
      </c>
      <c r="B17" s="11" t="inlineStr">
        <is>
          <t>High</t>
        </is>
      </c>
      <c r="C17" s="10" t="inlineStr">
        <is>
          <t>SFTP</t>
        </is>
      </c>
      <c r="D17" s="10" t="inlineStr">
        <is>
          <t>Can BizLink send one file to two destinations (for comparing against Aptean during testing)?</t>
        </is>
      </c>
      <c r="E17" s="10" t="inlineStr">
        <is>
          <t>Adam: BizLink is a file mover and supports many setups.</t>
        </is>
      </c>
      <c r="F17" s="10" t="inlineStr">
        <is>
          <t>Adam</t>
        </is>
      </c>
      <c r="G17" s="9" t="n"/>
      <c r="H17" s="9" t="inlineStr">
        <is>
          <t>Open</t>
        </is>
      </c>
    </row>
    <row r="18" ht="25" customHeight="1">
      <c r="A18" s="10" t="n">
        <v>14</v>
      </c>
      <c r="B18" s="11" t="inlineStr">
        <is>
          <t>High</t>
        </is>
      </c>
      <c r="C18" s="10" t="inlineStr">
        <is>
          <t>Costco pilot</t>
        </is>
      </c>
      <c r="D18" s="10" t="inlineStr">
        <is>
          <t>Can you share the SPS testing portal credentials?</t>
        </is>
      </c>
      <c r="E18" s="10" t="inlineStr">
        <is>
          <t>Kickoff action item.</t>
        </is>
      </c>
      <c r="F18" s="10" t="inlineStr">
        <is>
          <t>Adam</t>
        </is>
      </c>
      <c r="G18" s="9" t="n"/>
      <c r="H18" s="9" t="inlineStr">
        <is>
          <t>Open</t>
        </is>
      </c>
    </row>
    <row r="19" ht="25" customHeight="1">
      <c r="A19" s="10" t="n">
        <v>15</v>
      </c>
      <c r="B19" s="11" t="inlineStr">
        <is>
          <t>High</t>
        </is>
      </c>
      <c r="C19" s="10" t="inlineStr">
        <is>
          <t>Plant routing</t>
        </is>
      </c>
      <c r="D19" s="10" t="inlineStr">
        <is>
          <t>Confirm how each partner identifies the plant in the 850 (DUNS, store number, buyer-vendor number).</t>
        </is>
      </c>
      <c r="E19" s="10" t="inlineStr">
        <is>
          <t>Becky: DUNS identifies the location. Needed because all partners move to one Orderful ISA.</t>
        </is>
      </c>
      <c r="F19" s="10" t="inlineStr">
        <is>
          <t>Adam / Becky</t>
        </is>
      </c>
      <c r="G19" s="9" t="n"/>
      <c r="H19" s="9" t="inlineStr">
        <is>
          <t>Follow-up</t>
        </is>
      </c>
    </row>
    <row r="20" ht="25" customHeight="1">
      <c r="A20" s="10" t="n">
        <v>16</v>
      </c>
      <c r="B20" s="10" t="inlineStr">
        <is>
          <t>Medium</t>
        </is>
      </c>
      <c r="C20" s="10" t="inlineStr">
        <is>
          <t>Partners</t>
        </is>
      </c>
      <c r="D20" s="10" t="inlineStr">
        <is>
          <t>When can we get the Mid Valley (Phase 2) partner list?</t>
        </is>
      </c>
      <c r="E20" s="10" t="n"/>
      <c r="F20" s="10" t="inlineStr">
        <is>
          <t>Becky</t>
        </is>
      </c>
      <c r="G20" s="9" t="n"/>
      <c r="H20" s="9" t="inlineStr">
        <is>
          <t>Open</t>
        </is>
      </c>
    </row>
    <row r="21" ht="25" customHeight="1">
      <c r="A21" s="10" t="n">
        <v>17</v>
      </c>
      <c r="B21" s="10" t="inlineStr">
        <is>
          <t>High</t>
        </is>
      </c>
      <c r="C21" s="10" t="inlineStr">
        <is>
          <t>Doc types</t>
        </is>
      </c>
      <c r="D21" s="10" t="inlineStr">
        <is>
          <t>Do the 820, 812, 864 and 824 need to go into ERMS, or is viewing them in Orderful enough?</t>
        </is>
      </c>
      <c r="E21" s="10" t="n"/>
      <c r="F21" s="10" t="inlineStr">
        <is>
          <t>Adam</t>
        </is>
      </c>
      <c r="G21" s="9" t="n"/>
      <c r="H21" s="9" t="inlineStr">
        <is>
          <t>Open</t>
        </is>
      </c>
    </row>
    <row r="22" ht="25" customHeight="1">
      <c r="A22" s="10" t="n">
        <v>18</v>
      </c>
      <c r="B22" s="10" t="inlineStr">
        <is>
          <t>Medium</t>
        </is>
      </c>
      <c r="C22" s="10" t="inlineStr">
        <is>
          <t>Doc types</t>
        </is>
      </c>
      <c r="D22" s="10" t="inlineStr">
        <is>
          <t>Where does the 855 come from today?</t>
        </is>
      </c>
      <c r="E22" s="10" t="n"/>
      <c r="F22" s="10" t="inlineStr">
        <is>
          <t>Adam</t>
        </is>
      </c>
      <c r="G22" s="9" t="n"/>
      <c r="H22" s="9" t="inlineStr">
        <is>
          <t>Open</t>
        </is>
      </c>
    </row>
    <row r="23" ht="37.5" customHeight="1">
      <c r="A23" s="10" t="n">
        <v>19</v>
      </c>
      <c r="B23" s="10" t="inlineStr">
        <is>
          <t>Medium</t>
        </is>
      </c>
      <c r="C23" s="10" t="inlineStr">
        <is>
          <t>Files</t>
        </is>
      </c>
      <c r="D23" s="10" t="inlineStr">
        <is>
          <t>What do the NCS and NCW file prefixes mean, and what naming must Tray use?</t>
        </is>
      </c>
      <c r="E23" s="10" t="n"/>
      <c r="F23" s="10" t="inlineStr">
        <is>
          <t>Adam</t>
        </is>
      </c>
      <c r="G23" s="9" t="n"/>
      <c r="H23" s="9" t="inlineStr">
        <is>
          <t>Open</t>
        </is>
      </c>
    </row>
    <row r="24" ht="37.5" customHeight="1">
      <c r="A24" s="10" t="n">
        <v>20</v>
      </c>
      <c r="B24" s="10" t="inlineStr">
        <is>
          <t>Medium</t>
        </is>
      </c>
      <c r="C24" s="10" t="inlineStr">
        <is>
          <t>Aptean</t>
        </is>
      </c>
      <c r="D24" s="10" t="inlineStr">
        <is>
          <t>What's the biggest frustration with Aptean today, and what does success look like?</t>
        </is>
      </c>
      <c r="E24" s="10" t="inlineStr">
        <is>
          <t>Heard so far: Aptean portal is clunky, multiple ID sets are confusing, limited documentation since the iSeries/EDI lead retired, SPS cost growing.</t>
        </is>
      </c>
      <c r="F24" s="10" t="inlineStr">
        <is>
          <t>Steve / Adam</t>
        </is>
      </c>
      <c r="G24" s="9" t="inlineStr">
        <is>
          <t>Partly answered.</t>
        </is>
      </c>
      <c r="H24" s="9" t="inlineStr">
        <is>
          <t>Follow-up</t>
        </is>
      </c>
    </row>
    <row r="25" ht="50" customHeight="1">
      <c r="A25" s="12" t="n">
        <v>21</v>
      </c>
      <c r="B25" s="12" t="inlineStr">
        <is>
          <t>Critical</t>
        </is>
      </c>
      <c r="C25" s="12" t="inlineStr">
        <is>
          <t>SFTP</t>
        </is>
      </c>
      <c r="D25" s="12" t="inlineStr">
        <is>
          <t>Who will own and host the SFTP server?</t>
        </is>
      </c>
      <c r="E25" s="12" t="n"/>
      <c r="F25" s="12" t="inlineStr">
        <is>
          <t>Adam / John</t>
        </is>
      </c>
      <c r="G25" s="12" t="inlineStr">
        <is>
          <t>Concurrent hosts it ('way easier for us'). Concurrent provides inbound/outbound folders and instructions; Adam and Narvel connect BizLink (file mover only). John to confirm any added cost internally.</t>
        </is>
      </c>
      <c r="H25" s="12" t="inlineStr">
        <is>
          <t>Answered</t>
        </is>
      </c>
    </row>
    <row r="26" ht="62.5" customHeight="1">
      <c r="A26" s="12" t="n">
        <v>22</v>
      </c>
      <c r="B26" s="12" t="inlineStr">
        <is>
          <t>Critical</t>
        </is>
      </c>
      <c r="C26" s="12" t="inlineStr">
        <is>
          <t>File types</t>
        </is>
      </c>
      <c r="D26" s="12" t="inlineStr">
        <is>
          <t>Will ERMS expect two 850 file types (Park City fixed-width and pipe-delimited)?</t>
        </is>
      </c>
      <c r="E26" s="12" t="n"/>
      <c r="F26" s="12" t="inlineStr">
        <is>
          <t>Adam</t>
        </is>
      </c>
      <c r="G26" s="12" t="inlineStr">
        <is>
          <t>Park City orders are downloaded directly from Park City's site (not EDI) for Fresno, Fairfield and Model (VMI: Walmart, Sam's, Costco, maybe Pitco). Plan: leave Park City as-is, so Tray only builds the pipe-delimited (NCS/NCW) format. Umpqua trades direct via EDI.</t>
        </is>
      </c>
      <c r="H26" s="12" t="inlineStr">
        <is>
          <t>Answered</t>
        </is>
      </c>
    </row>
    <row r="27" ht="37.5" customHeight="1">
      <c r="A27" s="12" t="n">
        <v>23</v>
      </c>
      <c r="B27" s="12" t="inlineStr">
        <is>
          <t>Critical</t>
        </is>
      </c>
      <c r="C27" s="12" t="inlineStr">
        <is>
          <t>Specs + payloads</t>
        </is>
      </c>
      <c r="D27" s="12" t="inlineStr">
        <is>
          <t>Can you send a spec for every document type plus related payloads?</t>
        </is>
      </c>
      <c r="E27" s="12" t="n"/>
      <c r="F27" s="12" t="inlineStr">
        <is>
          <t>Adam</t>
        </is>
      </c>
      <c r="G27" s="12" t="inlineStr">
        <is>
          <t>Adam's mapping templates are the spec (no formal spec exists). Received: 850/810/856 templates, 59 production 850 flat files, 810 and 856 samples, Park City layouts (Costco 50A, Walmart 60A, Pitco), 6 raw Walmart/Sam's 850s. Aptean access provided to pull raw X12.</t>
        </is>
      </c>
      <c r="H27" s="12" t="inlineStr">
        <is>
          <t>Answered</t>
        </is>
      </c>
    </row>
    <row r="28" ht="62.5" customHeight="1">
      <c r="A28" s="12" t="n">
        <v>24</v>
      </c>
      <c r="B28" s="12" t="inlineStr">
        <is>
          <t>Critical</t>
        </is>
      </c>
      <c r="C28" s="12" t="inlineStr">
        <is>
          <t>Aptean vs ERMS</t>
        </is>
      </c>
      <c r="D28" s="12" t="inlineStr">
        <is>
          <t>Are the Aptean mappings the same as the ERMS flat file mappings?</t>
        </is>
      </c>
      <c r="E28" s="12" t="n"/>
      <c r="F28" s="12" t="inlineStr">
        <is>
          <t>Adam</t>
        </is>
      </c>
      <c r="G28" s="12" t="inlineStr">
        <is>
          <t>Aptean translates X12 into the ERMS flat file 'based on what you told us you need.' The flat file is what Tray must reproduce. Partner-specific logic: see follow-up above.</t>
        </is>
      </c>
      <c r="H28" s="12" t="inlineStr">
        <is>
          <t>Answered</t>
        </is>
      </c>
    </row>
    <row r="29" ht="37.5" customHeight="1">
      <c r="A29" s="12" t="n">
        <v>25</v>
      </c>
      <c r="B29" s="12" t="inlineStr">
        <is>
          <t>High</t>
        </is>
      </c>
      <c r="C29" s="12" t="inlineStr">
        <is>
          <t>Costco pilot</t>
        </is>
      </c>
      <c r="D29" s="12" t="inlineStr">
        <is>
          <t>Which Costco relationships are in the pilot?</t>
        </is>
      </c>
      <c r="E29" s="12" t="n"/>
      <c r="F29" s="12" t="inlineStr">
        <is>
          <t>Adam</t>
        </is>
      </c>
      <c r="G29" s="12" t="inlineStr">
        <is>
          <t>Two channels: (1) Umpqua via SPS: 850 in, 810 out, 856 in testing. (2) Park City VMI for Fresno/Fairfield/Model: 852 carbon copy to Park City, 850 by direct download, 856 now required. Fresno has a WMS; Fairfield (~10 Costcos, ~10/day) and Model manual via WebEDI; Umpqua 2 products about twice a week.</t>
        </is>
      </c>
      <c r="H29" s="12" t="inlineStr">
        <is>
          <t>Answered</t>
        </is>
      </c>
    </row>
    <row r="30" ht="25" customHeight="1">
      <c r="A30" s="12" t="n">
        <v>26</v>
      </c>
      <c r="B30" s="12" t="inlineStr">
        <is>
          <t>High</t>
        </is>
      </c>
      <c r="C30" s="12" t="inlineStr">
        <is>
          <t>ISA IDs</t>
        </is>
      </c>
      <c r="D30" s="12" t="inlineStr">
        <is>
          <t>Keep plant-based ISA IDs or switch to new Orderful ISA IDs?</t>
        </is>
      </c>
      <c r="E30" s="12" t="n"/>
      <c r="F30" s="12" t="inlineStr">
        <is>
          <t>Adam</t>
        </is>
      </c>
      <c r="G30" s="12" t="inlineStr">
        <is>
          <t>Switch to new Orderful ISA IDs for all partners (consolidates Umpqua, Producers and Mid Valley ID sets). Plant identified by DUNS / store in the 850.</t>
        </is>
      </c>
      <c r="H30" s="12" t="inlineStr">
        <is>
          <t>Answered</t>
        </is>
      </c>
    </row>
    <row r="31" ht="25" customHeight="1">
      <c r="A31" s="12" t="n">
        <v>27</v>
      </c>
      <c r="B31" s="12" t="inlineStr">
        <is>
          <t>High</t>
        </is>
      </c>
      <c r="C31" s="12" t="inlineStr">
        <is>
          <t>Working model</t>
        </is>
      </c>
      <c r="D31" s="12" t="inlineStr">
        <is>
          <t>Who answers field-level questions while we map offline?</t>
        </is>
      </c>
      <c r="E31" s="12" t="n"/>
      <c r="F31" s="12" t="inlineStr">
        <is>
          <t>Adam</t>
        </is>
      </c>
      <c r="G31" s="12" t="inlineStr">
        <is>
          <t>Adam (with Narvel). Concurrent maps offline, sends questions, reviews at the weekly meeting.</t>
        </is>
      </c>
      <c r="H31" s="12" t="inlineStr">
        <is>
          <t>Answered</t>
        </is>
      </c>
    </row>
    <row r="32" ht="37.5" customHeight="1">
      <c r="A32" s="12" t="n">
        <v>28</v>
      </c>
      <c r="B32" s="12" t="inlineStr">
        <is>
          <t>High</t>
        </is>
      </c>
      <c r="C32" s="12" t="inlineStr">
        <is>
          <t>ERMS import</t>
        </is>
      </c>
      <c r="D32" s="12" t="inlineStr">
        <is>
          <t>How does ERMS identify the ship-to and bill-to?</t>
        </is>
      </c>
      <c r="E32" s="12" t="n"/>
      <c r="F32" s="12" t="inlineStr">
        <is>
          <t>Adam</t>
        </is>
      </c>
      <c r="G32" s="12" t="inlineStr">
        <is>
          <t>By an ID that ERMS looks up in its cross-reference table; ERMS takes the bare minimum and does the rest.</t>
        </is>
      </c>
      <c r="H32" s="12" t="inlineStr">
        <is>
          <t>Answered</t>
        </is>
      </c>
    </row>
    <row r="33" ht="25" customHeight="1">
      <c r="A33" s="12" t="n">
        <v>29</v>
      </c>
      <c r="B33" s="12" t="inlineStr">
        <is>
          <t>High</t>
        </is>
      </c>
      <c r="C33" s="12" t="inlineStr">
        <is>
          <t>Costco pilot</t>
        </is>
      </c>
      <c r="D33" s="12" t="inlineStr">
        <is>
          <t>How will Costco ASNs and labels be handled?</t>
        </is>
      </c>
      <c r="E33" s="12" t="n"/>
      <c r="F33" s="12" t="inlineStr">
        <is>
          <t>Adam</t>
        </is>
      </c>
      <c r="G33" s="12" t="inlineStr">
        <is>
          <t>Fresno automated via WMS; Fairfield and Model manual via Orderful WebEDI (SCAC can be hardcoded to their own trucks). WMS for remaining plants targeted by end of next year.</t>
        </is>
      </c>
      <c r="H33" s="12" t="inlineStr">
        <is>
          <t>Answered</t>
        </is>
      </c>
    </row>
    <row r="34" ht="25" customHeight="1">
      <c r="A34" s="12" t="n">
        <v>30</v>
      </c>
      <c r="B34" s="12" t="inlineStr">
        <is>
          <t>High</t>
        </is>
      </c>
      <c r="C34" s="12" t="inlineStr">
        <is>
          <t>Partners</t>
        </is>
      </c>
      <c r="D34" s="12" t="inlineStr">
        <is>
          <t>Is the partner list complete so we can mass upload?</t>
        </is>
      </c>
      <c r="E34" s="12" t="n"/>
      <c r="F34" s="12" t="inlineStr">
        <is>
          <t>Adam</t>
        </is>
      </c>
      <c r="G34" s="12" t="inlineStr">
        <is>
          <t>Proceed: Mark pushes trade requests now with the new Orderful ISA, Costco first. A few partners still have questions.</t>
        </is>
      </c>
      <c r="H34" s="12" t="inlineStr">
        <is>
          <t>Answered</t>
        </is>
      </c>
    </row>
    <row r="35" ht="25" customHeight="1">
      <c r="A35" s="12" t="n">
        <v>31</v>
      </c>
      <c r="B35" s="12" t="inlineStr">
        <is>
          <t>Medium</t>
        </is>
      </c>
      <c r="C35" s="12" t="inlineStr">
        <is>
          <t>Doc types</t>
        </is>
      </c>
      <c r="D35" s="12" t="inlineStr">
        <is>
          <t>Confirm the 852 carbon copy setup.</t>
        </is>
      </c>
      <c r="E35" s="12" t="n"/>
      <c r="F35" s="12" t="inlineStr">
        <is>
          <t>Adam / Narvel</t>
        </is>
      </c>
      <c r="G35" s="12" t="inlineStr">
        <is>
          <t>ERMS does not process the 852 (Narvel confirmed). Orderful can accept it, return a 997, and optionally email a notice.</t>
        </is>
      </c>
      <c r="H35" s="12" t="inlineStr">
        <is>
          <t>Answered</t>
        </is>
      </c>
    </row>
    <row r="36" ht="25" customHeight="1">
      <c r="A36" s="12" t="n">
        <v>32</v>
      </c>
      <c r="B36" s="12" t="inlineStr">
        <is>
          <t>Medium</t>
        </is>
      </c>
      <c r="C36" s="12" t="inlineStr">
        <is>
          <t>Orderful</t>
        </is>
      </c>
      <c r="D36" s="12" t="inlineStr">
        <is>
          <t>Status of historical data in the Orderful UI?</t>
        </is>
      </c>
      <c r="E36" s="12" t="n"/>
      <c r="F36" s="12" t="inlineStr">
        <is>
          <t>Adam</t>
        </is>
      </c>
      <c r="G36" s="12" t="inlineStr">
        <is>
          <t>Uploaded to Orderful Historical Data as 3 zips (files renamed): Park City layouts, 59 flat files, 6 raw 850s.</t>
        </is>
      </c>
      <c r="H36" s="12" t="inlineStr">
        <is>
          <t>Answered</t>
        </is>
      </c>
    </row>
    <row r="37" ht="25" customHeight="1">
      <c r="A37" s="12" t="n">
        <v>33</v>
      </c>
      <c r="B37" s="12" t="inlineStr">
        <is>
          <t>Medium</t>
        </is>
      </c>
      <c r="C37" s="12" t="inlineStr">
        <is>
          <t>Background</t>
        </is>
      </c>
      <c r="D37" s="12" t="inlineStr">
        <is>
          <t>What are parse_pipe_850.py / parse_pcg_fixed.py?</t>
        </is>
      </c>
      <c r="E37" s="12" t="n"/>
      <c r="F37" s="12" t="inlineStr">
        <is>
          <t>Adam</t>
        </is>
      </c>
      <c r="G37" s="12" t="inlineStr">
        <is>
          <t>Adam's own Claude-built scripts (redactor + parser) used to build the mapping templates.</t>
        </is>
      </c>
      <c r="H37" s="12" t="inlineStr">
        <is>
          <t>Answered</t>
        </is>
      </c>
    </row>
  </sheetData>
  <autoFilter ref="A4:H36"/>
  <dataValidations count="1">
    <dataValidation sqref="H5:H36" showDropDown="0" showInputMessage="0" showErrorMessage="0" allowBlank="1" type="list">
      <formula1>"Open,Follow-up,Answered"</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5"/>
  <sheetViews>
    <sheetView zoomScaleNormal="100" workbookViewId="0">
      <selection activeCell="D7" sqref="D7"/>
    </sheetView>
  </sheetViews>
  <sheetFormatPr baseColWidth="8" defaultColWidth="8.6328125" defaultRowHeight="14.5"/>
  <cols>
    <col width="5" customWidth="1" min="1" max="1"/>
    <col width="24" customWidth="1" min="2" max="2"/>
    <col width="84" customWidth="1" min="3" max="3"/>
    <col width="14" customWidth="1" min="4" max="4"/>
    <col width="12" customWidth="1" min="5" max="5"/>
    <col width="22.1796875" customWidth="1" min="6" max="6"/>
  </cols>
  <sheetData>
    <row r="1" ht="18" customHeight="1">
      <c r="A1" s="1" t="inlineStr">
        <is>
          <t>Next Steps</t>
        </is>
      </c>
    </row>
    <row r="2">
      <c r="A2" s="2" t="inlineStr">
        <is>
          <t>From the 10/20 call. Fill in due dates.</t>
        </is>
      </c>
    </row>
    <row r="3"/>
    <row r="4" ht="26" customHeight="1">
      <c r="A4" s="35" t="inlineStr">
        <is>
          <t>Internal milestones (Concurrent)</t>
        </is>
      </c>
      <c r="B4" s="36" t="n"/>
      <c r="C4" s="36" t="n"/>
      <c r="D4" s="36" t="n"/>
      <c r="E4" s="36" t="n"/>
      <c r="F4" s="36" t="n"/>
      <c r="G4" s="36" t="n"/>
    </row>
    <row r="5">
      <c r="A5" s="37" t="inlineStr">
        <is>
          <t>#</t>
        </is>
      </c>
      <c r="B5" s="37" t="inlineStr">
        <is>
          <t>Owner</t>
        </is>
      </c>
      <c r="C5" s="37" t="inlineStr">
        <is>
          <t>Milestone</t>
        </is>
      </c>
      <c r="D5" s="37" t="inlineStr">
        <is>
          <t>Target date</t>
        </is>
      </c>
      <c r="E5" s="37" t="inlineStr">
        <is>
          <t>Status</t>
        </is>
      </c>
      <c r="F5" s="37" t="inlineStr">
        <is>
          <t>Depends on</t>
        </is>
      </c>
    </row>
    <row r="6" ht="25" customHeight="1">
      <c r="A6" s="38" t="inlineStr">
        <is>
          <t>M1</t>
        </is>
      </c>
      <c r="B6" s="38" t="inlineStr">
        <is>
          <t>Michel</t>
        </is>
      </c>
      <c r="C6" s="40" t="inlineStr">
        <is>
          <t xml:space="preserve">SFTP server stood up (sandbox first), BizLink connection guide sent. Use Couch for Shedhadey. IW to set up Couch </t>
        </is>
      </c>
      <c r="D6" s="41" t="n">
        <v>46321</v>
      </c>
      <c r="E6" s="39" t="inlineStr">
        <is>
          <t>Not started</t>
        </is>
      </c>
      <c r="F6" s="38" t="inlineStr">
        <is>
          <t>SFTP hosting decision / cost (John)</t>
        </is>
      </c>
    </row>
    <row r="7" ht="50" customHeight="1">
      <c r="A7" s="38" t="inlineStr">
        <is>
          <t>M2</t>
        </is>
      </c>
      <c r="B7" s="38" t="inlineStr">
        <is>
          <t>Mauricio</t>
        </is>
      </c>
      <c r="C7" s="38" t="inlineStr">
        <is>
          <t>First 850 brought from Orderful to the SFTP server in ERMS flat file format</t>
        </is>
      </c>
      <c r="D7" s="39" t="n"/>
      <c r="E7" s="39" t="inlineStr">
        <is>
          <t>Not started</t>
        </is>
      </c>
      <c r="F7" s="38" t="inlineStr">
        <is>
          <t>M1; Costco trade request live in test; Costco raw 850 + flat file pair to confirm mapping</t>
        </is>
      </c>
    </row>
    <row r="8" ht="71.5" customHeight="1">
      <c r="A8" s="38" t="inlineStr">
        <is>
          <t>M3</t>
        </is>
      </c>
      <c r="B8" s="38" t="inlineStr">
        <is>
          <t>Michel + Mauricio</t>
        </is>
      </c>
      <c r="C8" s="38" t="inlineStr">
        <is>
          <t>Tray flows ready for outbound (810, 856) from SFTP to Orderful, and test complete</t>
        </is>
      </c>
      <c r="D8" s="39" t="n"/>
      <c r="E8" s="39" t="inlineStr">
        <is>
          <t>Not started</t>
        </is>
      </c>
      <c r="F8" s="38" t="inlineStr">
        <is>
          <t>M1; BizLink connected by Shehadey; Costco 810/856 sample files</t>
        </is>
      </c>
    </row>
    <row r="9" ht="25" customHeight="1">
      <c r="A9" s="38" t="inlineStr">
        <is>
          <t>M4</t>
        </is>
      </c>
      <c r="B9" s="38" t="inlineStr">
        <is>
          <t>Mark (+ Adam)</t>
        </is>
      </c>
      <c r="C9" s="38" t="inlineStr">
        <is>
          <t>End-to-end UAT-ready data (Costco test orders through ERMS and back)</t>
        </is>
      </c>
      <c r="D9" s="39" t="n"/>
      <c r="E9" s="39" t="inlineStr">
        <is>
          <t>Not started</t>
        </is>
      </c>
      <c r="F9" s="38" t="inlineStr">
        <is>
          <t>M2, M3; Costco test scenario in Orderful</t>
        </is>
      </c>
    </row>
    <row r="10" ht="25" customHeight="1">
      <c r="A10" s="38" t="inlineStr">
        <is>
          <t>M5</t>
        </is>
      </c>
      <c r="B10" s="38" t="inlineStr">
        <is>
          <t>Mark</t>
        </is>
      </c>
      <c r="C10" s="38" t="inlineStr">
        <is>
          <t>Target go-live date (Costco)</t>
        </is>
      </c>
      <c r="D10" s="39" t="n"/>
      <c r="E10" s="39" t="inlineStr">
        <is>
          <t>Not started</t>
        </is>
      </c>
      <c r="F10" s="38" t="inlineStr">
        <is>
          <t>Costco certification; M4 sign-off</t>
        </is>
      </c>
    </row>
    <row r="11">
      <c r="A11" s="38" t="inlineStr">
        <is>
          <t>M6</t>
        </is>
      </c>
      <c r="B11" s="38" t="inlineStr">
        <is>
          <t>Michel</t>
        </is>
      </c>
      <c r="C11" s="38" t="inlineStr">
        <is>
          <t>IHM error-handling flows complete</t>
        </is>
      </c>
      <c r="D11" s="39" t="n"/>
      <c r="E11" s="39" t="inlineStr">
        <is>
          <t>Not started</t>
        </is>
      </c>
      <c r="F11" s="38" t="inlineStr">
        <is>
          <t>Before M5</t>
        </is>
      </c>
    </row>
    <row r="12"/>
    <row r="13" ht="37.5" customHeight="1">
      <c r="A13" s="35" t="inlineStr">
        <is>
          <t>Next steps</t>
        </is>
      </c>
      <c r="B13" s="36" t="n"/>
      <c r="C13" s="36" t="n"/>
      <c r="D13" s="36" t="n"/>
      <c r="E13" s="36" t="n"/>
      <c r="F13" s="36" t="n"/>
      <c r="G13" s="36" t="n"/>
    </row>
    <row r="14" ht="26" customHeight="1">
      <c r="A14" s="7" t="inlineStr">
        <is>
          <t>#</t>
        </is>
      </c>
      <c r="B14" s="7" t="inlineStr">
        <is>
          <t>Owner</t>
        </is>
      </c>
      <c r="C14" s="7" t="inlineStr">
        <is>
          <t>Action</t>
        </is>
      </c>
      <c r="D14" s="7" t="inlineStr">
        <is>
          <t>Due date</t>
        </is>
      </c>
      <c r="E14" s="7" t="inlineStr">
        <is>
          <t>Status</t>
        </is>
      </c>
      <c r="F14" s="17" t="inlineStr">
        <is>
          <t>10/22 or after Mark Notes</t>
        </is>
      </c>
      <c r="G14" s="17" t="inlineStr">
        <is>
          <t>Ask Claude</t>
        </is>
      </c>
    </row>
    <row r="15">
      <c r="A15" s="4" t="n">
        <v>1</v>
      </c>
      <c r="B15" s="4" t="inlineStr">
        <is>
          <t>Concurrent (Michel)</t>
        </is>
      </c>
      <c r="C15" s="4" t="inlineStr">
        <is>
          <t>Stand up SFTP with inbound/outbound folders; send connection details and instructions</t>
        </is>
      </c>
      <c r="D15" s="13" t="n"/>
      <c r="E15" s="13" t="inlineStr">
        <is>
          <t>Open</t>
        </is>
      </c>
    </row>
    <row r="16">
      <c r="A16" s="4" t="n">
        <v>2</v>
      </c>
      <c r="B16" s="4" t="inlineStr">
        <is>
          <t>Concurrent (John)</t>
        </is>
      </c>
      <c r="C16" s="4" t="inlineStr">
        <is>
          <t>Confirm SFTP hosting cost internally</t>
        </is>
      </c>
      <c r="D16" s="13" t="n"/>
      <c r="E16" s="13" t="inlineStr">
        <is>
          <t>Open</t>
        </is>
      </c>
    </row>
    <row r="17">
      <c r="A17" s="4" t="n">
        <v>3</v>
      </c>
      <c r="B17" s="4" t="inlineStr">
        <is>
          <t>Concurrent (Mark)</t>
        </is>
      </c>
      <c r="C17" s="4" t="inlineStr">
        <is>
          <t>Push trade requests (mass upload) with new Orderful ISA, Costco first</t>
        </is>
      </c>
      <c r="D17" s="13" t="n"/>
      <c r="E17" s="13" t="inlineStr">
        <is>
          <t>In progress</t>
        </is>
      </c>
      <c r="F17" t="inlineStr">
        <is>
          <t>10/26: Costco trade request 220507 created via Orderful (Shehadey ORDFLSHEHAFOODS → Costco COSTCOEDIUSA; type New; outreach skipped; status Pending requirements). Mass upload for other partners still pending.
10/27 OA: setting up program, 5 guidelines, scenarios on 220507; authorization received; vendor # pending from Shehadey (needed before testing).</t>
        </is>
      </c>
    </row>
    <row r="18" ht="50" customHeight="1">
      <c r="A18" s="4" t="n">
        <v>4</v>
      </c>
      <c r="B18" s="4" t="inlineStr">
        <is>
          <t>Concurrent (Mark)</t>
        </is>
      </c>
      <c r="C18" s="34" t="inlineStr">
        <is>
          <t>Log in to Aptean (credential vault) and pull Costco raw 850s matching the NCS flat files</t>
        </is>
      </c>
      <c r="D18" s="13" t="n"/>
      <c r="E18" s="13" t="inlineStr">
        <is>
          <t>In progress</t>
        </is>
      </c>
      <c r="F18" s="16" t="inlineStr">
        <is>
          <t>Aptean credentails not working (URL seems wrong), must follow up with Adam</t>
        </is>
      </c>
    </row>
    <row r="19" ht="37.5" customHeight="1">
      <c r="A19" s="4" t="n">
        <v>5</v>
      </c>
      <c r="B19" s="4" t="inlineStr">
        <is>
          <t>Concurrent (Mark: project/epics · Michel: technical tickets)</t>
        </is>
      </c>
      <c r="C19" s="4" t="inlineStr">
        <is>
          <t>Create Jira tracking: Mark sets up the project, epics per milestone, and PM tasks; Michel breaks the build into technical tickets and keeps them current</t>
        </is>
      </c>
      <c r="D19" s="13" t="n"/>
      <c r="E19" s="13" t="inlineStr">
        <is>
          <t>Open</t>
        </is>
      </c>
    </row>
    <row r="20" ht="25" customHeight="1">
      <c r="A20" s="4" t="n">
        <v>6</v>
      </c>
      <c r="B20" s="4" t="inlineStr">
        <is>
          <t>Concurrent (Michel)</t>
        </is>
      </c>
      <c r="C20" s="4" t="inlineStr">
        <is>
          <t>Build IHM error-handling flows: alerts for failed translations, missing required fields, cross-reference misses, and files not picked up (ERMS fails silently today)</t>
        </is>
      </c>
      <c r="D20" s="13" t="n"/>
      <c r="E20" s="13" t="inlineStr">
        <is>
          <t>Open</t>
        </is>
      </c>
    </row>
    <row r="21" ht="25" customHeight="1">
      <c r="A21" s="4" t="n">
        <v>7</v>
      </c>
      <c r="B21" s="4" t="inlineStr">
        <is>
          <t>Concurrent (John + Claude)</t>
        </is>
      </c>
      <c r="C21" s="4" t="inlineStr">
        <is>
          <t>Confirm inferred rows in the Costco mapping workbook against Costco pairs and Orderful guidelines; send questions to Adam</t>
        </is>
      </c>
      <c r="D21" s="13" t="n"/>
      <c r="E21" s="13" t="inlineStr">
        <is>
          <t>Open</t>
        </is>
      </c>
    </row>
    <row r="22" ht="25" customHeight="1">
      <c r="A22" s="4" t="n">
        <v>8</v>
      </c>
      <c r="B22" s="4" t="inlineStr">
        <is>
          <t>Concurrent (Mark)</t>
        </is>
      </c>
      <c r="C22" s="4" t="inlineStr">
        <is>
          <t>Set up WebEDI for Costco 856s (Park City plants); hardcode SCAC</t>
        </is>
      </c>
      <c r="D22" s="13" t="n"/>
      <c r="E22" s="13" t="inlineStr">
        <is>
          <t>Open</t>
        </is>
      </c>
      <c r="F22" s="16" t="inlineStr">
        <is>
          <t xml:space="preserve">How to test the Web EDI set up? </t>
        </is>
      </c>
    </row>
    <row r="23" ht="25" customHeight="1">
      <c r="A23" s="4" t="n">
        <v>9</v>
      </c>
      <c r="B23" s="4" t="inlineStr">
        <is>
          <t>Concurrent (Mark)</t>
        </is>
      </c>
      <c r="C23" s="4" t="inlineStr">
        <is>
          <t>Configure 852 receipt with 997 (no ERMS file) in Orderful</t>
        </is>
      </c>
      <c r="D23" s="13" t="n"/>
      <c r="E23" s="13" t="inlineStr">
        <is>
          <t>Open</t>
        </is>
      </c>
      <c r="F23" t="inlineStr">
        <is>
          <t>10/26: 852 source ISA unclear (inventory shows 103391843VMI, not in Orderful). Asked Anu which Costco account sends 852s.</t>
        </is>
      </c>
    </row>
    <row r="24" ht="37.5" customHeight="1">
      <c r="A24" s="4" t="n">
        <v>10</v>
      </c>
      <c r="B24" s="4" t="inlineStr">
        <is>
          <t>Shehadey (Adam)</t>
        </is>
      </c>
      <c r="C24" s="4" t="inlineStr">
        <is>
          <t>Contact Park City / ReposiTrak about an AS2 copy of the 850 (or 852) to Orderful</t>
        </is>
      </c>
      <c r="D24" s="13" t="n"/>
      <c r="E24" s="13" t="inlineStr">
        <is>
          <t>Open</t>
        </is>
      </c>
      <c r="F24" s="16" t="inlineStr">
        <is>
          <t>Kelly asked for a meeting with Adam to scope this request</t>
        </is>
      </c>
    </row>
    <row r="25" ht="37.5" customHeight="1">
      <c r="A25" s="4" t="n">
        <v>11</v>
      </c>
      <c r="B25" s="4" t="inlineStr">
        <is>
          <t>Shehadey (Adam)</t>
        </is>
      </c>
      <c r="C25" s="4" t="inlineStr">
        <is>
          <t>Create current-state document / flow chart: Umpqua-Costco-SPS path, Park City path, gaps</t>
        </is>
      </c>
      <c r="D25" s="13" t="n"/>
      <c r="E25" s="13" t="inlineStr">
        <is>
          <t>Open</t>
        </is>
      </c>
    </row>
    <row r="26" ht="37.5" customHeight="1">
      <c r="A26" s="4" t="n">
        <v>12</v>
      </c>
      <c r="B26" s="4" t="inlineStr">
        <is>
          <t>Shehadey (Adam)</t>
        </is>
      </c>
      <c r="C26" s="4" t="inlineStr">
        <is>
          <t>Send the Park City translation document and the raw 850 behind the mapped flat file</t>
        </is>
      </c>
      <c r="D26" s="13" t="n"/>
      <c r="E26" s="13" t="inlineStr">
        <is>
          <t>Open</t>
        </is>
      </c>
    </row>
    <row r="27" ht="25" customHeight="1">
      <c r="A27" s="4" t="n">
        <v>13</v>
      </c>
      <c r="B27" s="4" t="inlineStr">
        <is>
          <t>Shehadey (Adam)</t>
        </is>
      </c>
      <c r="C27" s="4" t="inlineStr">
        <is>
          <t>Send the ERMS cross-reference table and the 'IN 810 file layout' doc</t>
        </is>
      </c>
      <c r="D27" s="13" t="n"/>
      <c r="E27" s="13" t="inlineStr">
        <is>
          <t>Open</t>
        </is>
      </c>
    </row>
    <row r="28">
      <c r="A28" s="4" t="n">
        <v>14</v>
      </c>
      <c r="B28" s="4" t="inlineStr">
        <is>
          <t>Shehadey (Adam + Narvel)</t>
        </is>
      </c>
      <c r="C28" s="4" t="inlineStr">
        <is>
          <t>Connect BizLink to the Concurrent SFTP once ready</t>
        </is>
      </c>
      <c r="D28" s="13" t="n"/>
      <c r="E28" s="13" t="inlineStr">
        <is>
          <t>Open</t>
        </is>
      </c>
    </row>
    <row r="29">
      <c r="A29" s="4" t="n">
        <v>15</v>
      </c>
      <c r="B29" s="4" t="inlineStr">
        <is>
          <t>Shehadey (Adam)</t>
        </is>
      </c>
      <c r="C29" s="4" t="inlineStr">
        <is>
          <t>Confirm Costco certification status and go-live date</t>
        </is>
      </c>
      <c r="D29" s="13" t="n"/>
      <c r="E29" s="13" t="inlineStr">
        <is>
          <t>Open</t>
        </is>
      </c>
    </row>
    <row r="30">
      <c r="A30" s="4" t="n">
        <v>16</v>
      </c>
      <c r="B30" s="4" t="inlineStr">
        <is>
          <t>Orderful</t>
        </is>
      </c>
      <c r="C30" s="4" t="inlineStr">
        <is>
          <t>Confirm support for UCS doc types, version 4030, and clearinghouse routing</t>
        </is>
      </c>
      <c r="D30" s="13" t="n"/>
      <c r="E30" s="13" t="inlineStr">
        <is>
          <t>Open</t>
        </is>
      </c>
    </row>
    <row r="31" ht="25" customHeight="1">
      <c r="A31" s="4" t="n">
        <v>17</v>
      </c>
      <c r="B31" s="4" t="inlineStr">
        <is>
          <t>Concurrent (Mark)</t>
        </is>
      </c>
      <c r="C31" s="4" t="inlineStr">
        <is>
          <t>Forward Adam's 810/856 email (received)</t>
        </is>
      </c>
      <c r="D31" s="13" t="n"/>
      <c r="E31" s="13" t="inlineStr">
        <is>
          <t>Done</t>
        </is>
      </c>
    </row>
    <row r="32" ht="50" customHeight="1">
      <c r="A32" s="4" t="n">
        <v>18</v>
      </c>
      <c r="B32" s="4" t="inlineStr">
        <is>
          <t>Orderful (Anu)</t>
        </is>
      </c>
      <c r="C32" s="4" t="inlineStr">
        <is>
          <t>Review trade request 220507 requirements; confirm the Costco scenario covers 850, 860, 810, 997; trigger outreach to Costco when ready</t>
        </is>
      </c>
      <c r="D32" s="13" t="n"/>
      <c r="E32" s="13" t="inlineStr">
        <is>
          <t>Open</t>
        </is>
      </c>
      <c r="F32" t="inlineStr">
        <is>
          <t>10/27: handled via Orderful Onboarding Agent (task 01a178b2). Costco testing in SPS portal covers 810/824/850/856/860/997; 820 untested, on after go-live.</t>
        </is>
      </c>
    </row>
    <row r="33" ht="37.5" customHeight="1">
      <c r="A33" s="4" t="n">
        <v>19</v>
      </c>
      <c r="B33" s="4" t="inlineStr">
        <is>
          <t>Orderful (Anu)</t>
        </is>
      </c>
      <c r="C33" s="4" t="inlineStr">
        <is>
          <t>Confirm which Costco account sends the 852; add the 852 (accept + 997 only) to the right scenario or create a second trade request</t>
        </is>
      </c>
      <c r="D33" s="13" t="n"/>
      <c r="E33" s="13" t="inlineStr">
        <is>
          <t>Open</t>
        </is>
      </c>
    </row>
    <row r="34" ht="25" customHeight="1">
      <c r="A34" s="4" t="n">
        <v>20</v>
      </c>
      <c r="B34" s="4" t="inlineStr">
        <is>
          <t>Concurrent (Mark)</t>
        </is>
      </c>
      <c r="C34" s="4" t="inlineStr">
        <is>
          <t>Create the COSTCOMASN (856) trade request once the Costco ASN approach is settled</t>
        </is>
      </c>
      <c r="D34" s="13" t="n"/>
      <c r="E34" s="13" t="inlineStr">
        <is>
          <t>Open</t>
        </is>
      </c>
      <c r="F34" t="inlineStr">
        <is>
          <t>10/27: asked Anu to create COSTCOMASN (856) and 103391843VMI (852) requests. OA confirms 856 step goes on COSTCOMASN.</t>
        </is>
      </c>
    </row>
    <row r="35" ht="25" customHeight="1">
      <c r="A35" s="4" t="n">
        <v>21</v>
      </c>
      <c r="B35" s="4" t="inlineStr">
        <is>
          <t>Concurrent (Michel + Mauricio)</t>
        </is>
      </c>
      <c r="C35" s="4" t="inlineStr">
        <is>
          <t>Build Tray workflows — Inbound: Orderful 850 (JSON) → ERMS pipe-delimited flat file → SFTP inbound folder. Outbound: SFTP outbound 810/856 flat files → Orderful JSON → Orderful API. Shared: polling, batch splitting (HDR…TOT), archive and error folders</t>
        </is>
      </c>
      <c r="D35" s="13" t="n"/>
      <c r="E35" s="13" t="inlineStr">
        <is>
          <t>Open</t>
        </is>
      </c>
    </row>
  </sheetData>
  <autoFilter ref="A14:G35"/>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11"/>
  <sheetViews>
    <sheetView zoomScaleNormal="100" workbookViewId="0">
      <pane ySplit="4" topLeftCell="A5" activePane="bottomLeft" state="frozen"/>
      <selection pane="bottomLeft" activeCell="A1" sqref="A1"/>
    </sheetView>
  </sheetViews>
  <sheetFormatPr baseColWidth="8" defaultColWidth="8.6328125" defaultRowHeight="14.5"/>
  <cols>
    <col width="5" customWidth="1" min="1" max="1"/>
    <col width="44" customWidth="1" min="2" max="2"/>
    <col width="52" customWidth="1" min="3" max="3"/>
    <col width="26" customWidth="1" min="4" max="4"/>
    <col width="14" customWidth="1" min="5" max="5"/>
    <col width="12" customWidth="1" min="6" max="6"/>
  </cols>
  <sheetData>
    <row r="1" ht="18" customHeight="1">
      <c r="A1" s="1" t="inlineStr">
        <is>
          <t>Blockers</t>
        </is>
      </c>
    </row>
    <row r="2">
      <c r="A2" s="2" t="inlineStr">
        <is>
          <t>What's holding the project up, and who clears it.</t>
        </is>
      </c>
    </row>
    <row r="4">
      <c r="A4" s="7" t="inlineStr">
        <is>
          <t>#</t>
        </is>
      </c>
      <c r="B4" s="7" t="inlineStr">
        <is>
          <t>Blocker</t>
        </is>
      </c>
      <c r="C4" s="7" t="inlineStr">
        <is>
          <t>Impact</t>
        </is>
      </c>
      <c r="D4" s="7" t="inlineStr">
        <is>
          <t>Owner to clear</t>
        </is>
      </c>
      <c r="E4" s="7" t="inlineStr">
        <is>
          <t>Target date</t>
        </is>
      </c>
      <c r="F4" s="7" t="inlineStr">
        <is>
          <t>Status</t>
        </is>
      </c>
    </row>
    <row r="5">
      <c r="A5" s="4" t="n">
        <v>1</v>
      </c>
      <c r="B5" s="4" t="inlineStr">
        <is>
          <t>SFTP not yet provisioned</t>
        </is>
      </c>
      <c r="C5" s="4" t="inlineStr">
        <is>
          <t>No BizLink connectivity or end-to-end testing</t>
        </is>
      </c>
      <c r="D5" s="4" t="inlineStr">
        <is>
          <t>Concurrent (John)</t>
        </is>
      </c>
      <c r="E5" s="13" t="n"/>
      <c r="F5" s="13" t="inlineStr">
        <is>
          <t>Open</t>
        </is>
      </c>
    </row>
    <row r="6">
      <c r="A6" s="4" t="n">
        <v>2</v>
      </c>
      <c r="B6" s="4" t="inlineStr">
        <is>
          <t>No Costco raw 850 + matching flat file</t>
        </is>
      </c>
      <c r="C6" s="4" t="inlineStr">
        <is>
          <t>850 mapping can't be fully verified</t>
        </is>
      </c>
      <c r="D6" s="4" t="inlineStr">
        <is>
          <t>Mark (Aptean) / Adam</t>
        </is>
      </c>
      <c r="E6" s="13" t="n"/>
      <c r="F6" s="13" t="inlineStr">
        <is>
          <t>Open</t>
        </is>
      </c>
    </row>
    <row r="7">
      <c r="A7" s="4" t="n">
        <v>3</v>
      </c>
      <c r="B7" s="4" t="inlineStr">
        <is>
          <t>No 850 in Orderful for Park City Costco orders</t>
        </is>
      </c>
      <c r="C7" s="4" t="inlineStr">
        <is>
          <t>WebEDI can't build 856s for Fairfield/Model</t>
        </is>
      </c>
      <c r="D7" s="4" t="inlineStr">
        <is>
          <t>Adam (ReposiTrak AS2)</t>
        </is>
      </c>
      <c r="E7" s="13" t="n"/>
      <c r="F7" s="13" t="inlineStr">
        <is>
          <t>Open</t>
        </is>
      </c>
    </row>
    <row r="8">
      <c r="A8" s="4" t="n">
        <v>4</v>
      </c>
      <c r="B8" s="4" t="inlineStr">
        <is>
          <t>Costco certification and go-live date unknown</t>
        </is>
      </c>
      <c r="C8" s="4" t="inlineStr">
        <is>
          <t>Timeline can't be set</t>
        </is>
      </c>
      <c r="D8" s="4" t="inlineStr">
        <is>
          <t>Adam</t>
        </is>
      </c>
      <c r="E8" s="13" t="n"/>
      <c r="F8" s="13" t="inlineStr">
        <is>
          <t>Open</t>
        </is>
      </c>
    </row>
    <row r="9">
      <c r="A9" s="4" t="n">
        <v>5</v>
      </c>
      <c r="B9" s="4" t="inlineStr">
        <is>
          <t>ERMS cross-reference table not received</t>
        </is>
      </c>
      <c r="C9" s="4" t="inlineStr">
        <is>
          <t>Can't validate files before sending</t>
        </is>
      </c>
      <c r="D9" s="4" t="inlineStr">
        <is>
          <t>Adam</t>
        </is>
      </c>
      <c r="E9" s="13" t="n"/>
      <c r="F9" s="13" t="inlineStr">
        <is>
          <t>Open</t>
        </is>
      </c>
    </row>
    <row r="10">
      <c r="A10" s="4" t="n">
        <v>6</v>
      </c>
      <c r="B10" s="4" t="inlineStr">
        <is>
          <t>Umpqua 856 lacks SSCC data</t>
        </is>
      </c>
      <c r="C10" s="4" t="inlineStr">
        <is>
          <t>Automated Costco 856 may not pass</t>
        </is>
      </c>
      <c r="D10" s="4" t="inlineStr">
        <is>
          <t>Adam</t>
        </is>
      </c>
      <c r="E10" s="13" t="n"/>
      <c r="F10" s="13" t="inlineStr">
        <is>
          <t>Open</t>
        </is>
      </c>
    </row>
    <row r="11">
      <c r="A11" s="4" t="n">
        <v>7</v>
      </c>
      <c r="B11" s="4" t="inlineStr">
        <is>
          <t>Field-level required fields unknown</t>
        </is>
      </c>
      <c r="C11" s="4" t="inlineStr">
        <is>
          <t>Risk of ERMS silently dropping files</t>
        </is>
      </c>
      <c r="D11" s="4" t="inlineStr">
        <is>
          <t>Adam</t>
        </is>
      </c>
      <c r="E11" s="13" t="n"/>
      <c r="F11" s="13" t="inlineStr">
        <is>
          <t>Open</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D19"/>
  <sheetViews>
    <sheetView zoomScaleNormal="100" workbookViewId="0">
      <pane ySplit="4" topLeftCell="A5" activePane="bottomLeft" state="frozen"/>
      <selection pane="bottomLeft" activeCell="C22" sqref="C22"/>
    </sheetView>
  </sheetViews>
  <sheetFormatPr baseColWidth="8" defaultColWidth="8.6328125" defaultRowHeight="14.5"/>
  <cols>
    <col width="5" customWidth="1" min="1" max="1"/>
    <col width="16" customWidth="1" min="2" max="2"/>
    <col width="80" customWidth="1" min="3" max="3"/>
    <col width="20" customWidth="1" min="4" max="4"/>
  </cols>
  <sheetData>
    <row r="1" ht="18" customHeight="1">
      <c r="A1" s="1" t="inlineStr">
        <is>
          <t>What a Usable Flat File Spec Must Include</t>
        </is>
      </c>
    </row>
    <row r="2">
      <c r="A2" s="2" t="inlineStr">
        <is>
          <t>Adam's mapping templates are being used as the spec; this checklist shows what's still missing.</t>
        </is>
      </c>
    </row>
    <row r="4" ht="26" customHeight="1">
      <c r="A4" s="7" t="inlineStr">
        <is>
          <t>#</t>
        </is>
      </c>
      <c r="B4" s="7" t="inlineStr">
        <is>
          <t>Area</t>
        </is>
      </c>
      <c r="C4" s="7" t="inlineStr">
        <is>
          <t>Requirement</t>
        </is>
      </c>
      <c r="D4" s="7" t="inlineStr">
        <is>
          <t>Covered? (Y/N/Partial)</t>
        </is>
      </c>
    </row>
    <row r="5">
      <c r="A5" s="4" t="n">
        <v>1</v>
      </c>
      <c r="B5" s="4" t="inlineStr">
        <is>
          <t>Scope</t>
        </is>
      </c>
      <c r="C5" s="4" t="inlineStr">
        <is>
          <t>One spec per document type and direction, per system</t>
        </is>
      </c>
      <c r="D5" s="4" t="inlineStr">
        <is>
          <t>Y</t>
        </is>
      </c>
    </row>
    <row r="6">
      <c r="A6" s="4" t="n">
        <v>2</v>
      </c>
      <c r="B6" s="4" t="inlineStr">
        <is>
          <t>File structure</t>
        </is>
      </c>
      <c r="C6" s="4" t="inlineStr">
        <is>
          <t>Record types, order, which repeat</t>
        </is>
      </c>
      <c r="D6" s="4" t="inlineStr">
        <is>
          <t>Y</t>
        </is>
      </c>
    </row>
    <row r="7">
      <c r="A7" s="4" t="n">
        <v>3</v>
      </c>
      <c r="B7" s="4" t="inlineStr">
        <is>
          <t>File structure</t>
        </is>
      </c>
      <c r="C7" s="4" t="inlineStr">
        <is>
          <t>Delimiter or fixed positions; line endings; encoding</t>
        </is>
      </c>
      <c r="D7" s="4" t="inlineStr">
        <is>
          <t>Y</t>
        </is>
      </c>
    </row>
    <row r="8">
      <c r="A8" s="4" t="n">
        <v>4</v>
      </c>
      <c r="B8" s="4" t="inlineStr">
        <is>
          <t>File structure</t>
        </is>
      </c>
      <c r="C8" s="4" t="inlineStr">
        <is>
          <t>One order per file or many</t>
        </is>
      </c>
      <c r="D8" s="4" t="inlineStr">
        <is>
          <t>Y</t>
        </is>
      </c>
    </row>
    <row r="9">
      <c r="A9" s="4" t="n">
        <v>5</v>
      </c>
      <c r="B9" s="4" t="inlineStr">
        <is>
          <t>Fields</t>
        </is>
      </c>
      <c r="C9" s="4" t="inlineStr">
        <is>
          <t>Every field by record and position, name, description</t>
        </is>
      </c>
      <c r="D9" s="4" t="inlineStr">
        <is>
          <t>Partial</t>
        </is>
      </c>
    </row>
    <row r="10">
      <c r="A10" s="4" t="n">
        <v>6</v>
      </c>
      <c r="B10" s="4" t="inlineStr">
        <is>
          <t>Fields</t>
        </is>
      </c>
      <c r="C10" s="4" t="inlineStr">
        <is>
          <t>Data type and length</t>
        </is>
      </c>
      <c r="D10" s="4" t="inlineStr">
        <is>
          <t>Partial</t>
        </is>
      </c>
    </row>
    <row r="11">
      <c r="A11" s="4" t="n">
        <v>7</v>
      </c>
      <c r="B11" s="4" t="inlineStr">
        <is>
          <t>Fields</t>
        </is>
      </c>
      <c r="C11" s="4" t="inlineStr">
        <is>
          <t>Required / optional / conditional</t>
        </is>
      </c>
      <c r="D11" s="4" t="inlineStr">
        <is>
          <t>N</t>
        </is>
      </c>
    </row>
    <row r="12">
      <c r="A12" s="4" t="n">
        <v>8</v>
      </c>
      <c r="B12" s="4" t="inlineStr">
        <is>
          <t>Fields</t>
        </is>
      </c>
      <c r="C12" s="4" t="inlineStr">
        <is>
          <t>Formats: dates, decimals, padding</t>
        </is>
      </c>
      <c r="D12" s="4" t="inlineStr">
        <is>
          <t>Partial</t>
        </is>
      </c>
    </row>
    <row r="13">
      <c r="A13" s="4" t="n">
        <v>9</v>
      </c>
      <c r="B13" s="4" t="inlineStr">
        <is>
          <t>Fields</t>
        </is>
      </c>
      <c r="C13" s="4" t="inlineStr">
        <is>
          <t>Valid code values</t>
        </is>
      </c>
      <c r="D13" s="4" t="inlineStr">
        <is>
          <t>Partial</t>
        </is>
      </c>
    </row>
    <row r="14">
      <c r="A14" s="4" t="n">
        <v>10</v>
      </c>
      <c r="B14" s="4" t="inlineStr">
        <is>
          <t>Fields</t>
        </is>
      </c>
      <c r="C14" s="4" t="inlineStr">
        <is>
          <t>Which fields ERMS checks against the cross-reference table</t>
        </is>
      </c>
      <c r="D14" s="4" t="inlineStr">
        <is>
          <t>N</t>
        </is>
      </c>
    </row>
    <row r="15">
      <c r="A15" s="4" t="n">
        <v>11</v>
      </c>
      <c r="B15" s="4" t="inlineStr">
        <is>
          <t>Behavior</t>
        </is>
      </c>
      <c r="C15" s="4" t="inlineStr">
        <is>
          <t>Error handling</t>
        </is>
      </c>
      <c r="D15" s="4" t="inlineStr">
        <is>
          <t>Partial</t>
        </is>
      </c>
    </row>
    <row r="16">
      <c r="A16" s="4" t="n">
        <v>12</v>
      </c>
      <c r="B16" s="4" t="inlineStr">
        <is>
          <t>Behavior</t>
        </is>
      </c>
      <c r="C16" s="4" t="inlineStr">
        <is>
          <t>How the plant is identified</t>
        </is>
      </c>
      <c r="D16" s="4" t="inlineStr">
        <is>
          <t>Partial</t>
        </is>
      </c>
    </row>
    <row r="17">
      <c r="A17" s="4" t="n">
        <v>13</v>
      </c>
      <c r="B17" s="4" t="inlineStr">
        <is>
          <t>Behavior</t>
        </is>
      </c>
      <c r="C17" s="4" t="inlineStr">
        <is>
          <t>Partner-specific variations</t>
        </is>
      </c>
      <c r="D17" s="4" t="inlineStr">
        <is>
          <t>Partial</t>
        </is>
      </c>
    </row>
    <row r="18">
      <c r="A18" s="4" t="n">
        <v>14</v>
      </c>
      <c r="B18" s="4" t="inlineStr">
        <is>
          <t>Delivery</t>
        </is>
      </c>
      <c r="C18" s="4" t="inlineStr">
        <is>
          <t>File naming and folders</t>
        </is>
      </c>
      <c r="D18" s="4" t="inlineStr">
        <is>
          <t>Partial</t>
        </is>
      </c>
    </row>
    <row r="19">
      <c r="A19" s="4" t="n">
        <v>15</v>
      </c>
      <c r="B19" s="4" t="inlineStr">
        <is>
          <t>Samples</t>
        </is>
      </c>
      <c r="C19" s="4" t="inlineStr">
        <is>
          <t>Raw EDI + matching flat file per document type</t>
        </is>
      </c>
      <c r="D19" s="4" t="inlineStr">
        <is>
          <t>Partial</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9"/>
  <sheetViews>
    <sheetView zoomScaleNormal="100" workbookViewId="0">
      <pane ySplit="4" topLeftCell="A5" activePane="bottomLeft" state="frozen"/>
      <selection pane="bottomLeft" activeCell="B35" sqref="B35"/>
    </sheetView>
  </sheetViews>
  <sheetFormatPr baseColWidth="8" defaultColWidth="8.6328125" defaultRowHeight="14.5"/>
  <cols>
    <col width="5" customWidth="1" min="1" max="1"/>
    <col width="100" customWidth="1" min="2" max="2"/>
  </cols>
  <sheetData>
    <row r="1" ht="18" customHeight="1">
      <c r="A1" s="1" t="inlineStr">
        <is>
          <t>Parked for the Mapping Call</t>
        </is>
      </c>
    </row>
    <row r="2">
      <c r="A2" s="2" t="inlineStr">
        <is>
          <t>Line-level questions now tracked in specs/&lt;doc&gt;/questions.md and the mapping workbook.</t>
        </is>
      </c>
    </row>
    <row r="4">
      <c r="A4" s="7" t="inlineStr">
        <is>
          <t>#</t>
        </is>
      </c>
      <c r="B4" s="7" t="inlineStr">
        <is>
          <t>Question</t>
        </is>
      </c>
    </row>
    <row r="5">
      <c r="A5" s="4" t="n">
        <v>1</v>
      </c>
      <c r="B5" s="4" t="inlineStr">
        <is>
          <t>HDR 8–10, 12–20, 35–38 (850): unused?</t>
        </is>
      </c>
    </row>
    <row r="6">
      <c r="A6" s="4" t="n">
        <v>2</v>
      </c>
      <c r="B6" s="4" t="inlineStr">
        <is>
          <t>LDT 26 (850): what is the 0?</t>
        </is>
      </c>
    </row>
    <row r="7">
      <c r="A7" s="4" t="n">
        <v>3</v>
      </c>
      <c r="B7" s="4" t="inlineStr">
        <is>
          <t>UOM code list beyond CA/EA</t>
        </is>
      </c>
    </row>
    <row r="8">
      <c r="A8" s="4" t="n">
        <v>4</v>
      </c>
      <c r="B8" s="4" t="inlineStr">
        <is>
          <t>Allowance rate basis (per case vs per unit) from ERMS note table</t>
        </is>
      </c>
    </row>
    <row r="9">
      <c r="A9" s="4" t="n">
        <v>5</v>
      </c>
      <c r="B9" s="4" t="inlineStr">
        <is>
          <t>HCM: all partner notes and legal text into HCM?</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2026-10-21T11:43:59Z</dcterms:created>
  <dcterms:modified xmlns:dcterms="http://purl.org/dc/terms/" xmlns:xsi="http://www.w3.org/2001/XMLSchema-instance" xsi:type="dcterms:W3CDTF">2026-10-27T12:53:52Z</dcterms:modified>
  <cp:lastModifiedBy>Mark Dallas</cp:lastModifiedBy>
  <cp:revision>0</cp:revision>
</cp:coreProperties>
</file>