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oncurrentservices.sharepoint.com/sites/Clients/Shared Documents/Orderful Lead_Sold Projects/Shehadey Foods/Claude outputs/"/>
    </mc:Choice>
  </mc:AlternateContent>
  <xr:revisionPtr revIDLastSave="15" documentId="11_F97933A48CB727F187DC4518D1935824607A104C" xr6:coauthVersionLast="47" xr6:coauthVersionMax="47" xr10:uidLastSave="{DF44CEC6-1B44-466B-B48F-3FA5C4B397CF}"/>
  <bookViews>
    <workbookView xWindow="33720" yWindow="-120" windowWidth="29040" windowHeight="17520" tabRatio="500" activeTab="1" xr2:uid="{00000000-000D-0000-FFFF-FFFF00000000}"/>
  </bookViews>
  <sheets>
    <sheet name="Agenda" sheetId="1" r:id="rId1"/>
    <sheet name="Questions" sheetId="2" r:id="rId2"/>
    <sheet name="Spec Requirements" sheetId="3" r:id="rId3"/>
    <sheet name="Next Steps" sheetId="4" r:id="rId4"/>
    <sheet name="Blockers" sheetId="5" r:id="rId5"/>
    <sheet name="Parked (Mapping Call)" sheetId="6" r:id="rId6"/>
  </sheets>
  <definedNames>
    <definedName name="_xlnm._FilterDatabase" localSheetId="4" hidden="1">Blockers!$A$4:$F$12</definedName>
    <definedName name="_xlnm._FilterDatabase" localSheetId="3" hidden="1">'Next Steps'!$A$4:$E$19</definedName>
    <definedName name="_xlnm._FilterDatabase" localSheetId="5" hidden="1">'Parked (Mapping Call)'!$A$4:$B$10</definedName>
    <definedName name="_xlnm._FilterDatabase" localSheetId="1" hidden="1">Questions!$A$4:$H$28</definedName>
    <definedName name="_xlnm._FilterDatabase" localSheetId="2" hidden="1">'Spec Requirements'!$A$4:$D$19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" i="1" l="1"/>
  <c r="D24" i="1"/>
  <c r="D14" i="1"/>
</calcChain>
</file>

<file path=xl/sharedStrings.xml><?xml version="1.0" encoding="utf-8"?>
<sst xmlns="http://schemas.openxmlformats.org/spreadsheetml/2006/main" count="325" uniqueCount="206">
  <si>
    <t>Shehadey Foods — Call Agenda</t>
  </si>
  <si>
    <t>Concurrent-led Orderful onboarding · Times are suggestions</t>
  </si>
  <si>
    <t>#</t>
  </si>
  <si>
    <t>Topic</t>
  </si>
  <si>
    <t>Lead</t>
  </si>
  <si>
    <t>Minutes</t>
  </si>
  <si>
    <t>Notes</t>
  </si>
  <si>
    <t>Recap and today's goals</t>
  </si>
  <si>
    <t>Mark</t>
  </si>
  <si>
    <t>Kickoff decisions: Costco pilot, ~45 partners, ~6-month rollout.</t>
  </si>
  <si>
    <t>Who owns the SFTP server</t>
  </si>
  <si>
    <t>John</t>
  </si>
  <si>
    <t>Critical Q1.</t>
  </si>
  <si>
    <t>One 850 file type or two (Park City vs pipe-delimited)</t>
  </si>
  <si>
    <t>Critical Q2.</t>
  </si>
  <si>
    <t>Specs for every document type + related payloads</t>
  </si>
  <si>
    <t>Critical Q3. Walk through the Spec Requirements tab.</t>
  </si>
  <si>
    <t>ERMS cross-reference file</t>
  </si>
  <si>
    <t>Critical Q4.</t>
  </si>
  <si>
    <t>Aptean mappings vs ERMS flat file mappings</t>
  </si>
  <si>
    <t>Critical Q5.</t>
  </si>
  <si>
    <t>Costco go-live date, pilot scope and ISA IDs</t>
  </si>
  <si>
    <t>High Q6–9.</t>
  </si>
  <si>
    <t>Other open questions (as time allows)</t>
  </si>
  <si>
    <t>Remaining High/Medium questions.</t>
  </si>
  <si>
    <t>Next steps, owners and blockers</t>
  </si>
  <si>
    <t>See Next Steps and Blockers tabs.</t>
  </si>
  <si>
    <t>Total minutes</t>
  </si>
  <si>
    <t>Goals for the call</t>
  </si>
  <si>
    <t>• SFTP owner decided (or decision date set); BizLink contact named</t>
  </si>
  <si>
    <t>• Confirmed whether Tray builds one 850 format or two</t>
  </si>
  <si>
    <t>• Dates committed for a spec + related payloads for every document type</t>
  </si>
  <si>
    <t>• Cross-reference file requested with a date</t>
  </si>
  <si>
    <t>• Answer on whether Aptean adds logic beyond the ERMS layout</t>
  </si>
  <si>
    <t>• Costco go-live date and ISA approach agreed (or owner + date to decide)</t>
  </si>
  <si>
    <t>Open questions</t>
  </si>
  <si>
    <t>Critical questions still open</t>
  </si>
  <si>
    <t>Shehadey Foods — Questions for Today's Call</t>
  </si>
  <si>
    <t>5 critical questions first (red), then High and Medium. Yellow cells are for notes during the call. Status: Open / Answered / Follow-up.</t>
  </si>
  <si>
    <t>Priority</t>
  </si>
  <si>
    <t>Question for Shehadey</t>
  </si>
  <si>
    <t>Why it matters / context</t>
  </si>
  <si>
    <t>Shehadey owner</t>
  </si>
  <si>
    <t>Answer / notes</t>
  </si>
  <si>
    <t>Status</t>
  </si>
  <si>
    <t>Critical</t>
  </si>
  <si>
    <t>SFTP</t>
  </si>
  <si>
    <t>Who will own and host the SFTP server: Shehadey or Concurrent? (John is weighing cost, setup and upkeep.) Either way: who is your BizLink admin, and what are BizLink's IPs, preferred login (key or password), folder layout per plant, and file naming?</t>
  </si>
  <si>
    <t>Both options were raised at kickoff. Nothing can connect or be tested end to end until this is settled.</t>
  </si>
  <si>
    <t>Open</t>
  </si>
  <si>
    <t>File types</t>
  </si>
  <si>
    <t>Will ERMS expect two 850 file types going forward (Park City fixed-width and pipe-delimited), or only the pipe-delimited format once Orderful delivers Costco/Walmart/other partners directly? Will Park City Group keep sending its fixed-width files on its own, outside Orderful?</t>
  </si>
  <si>
    <t>Two inbound formats today: pipe-delimited (NCS/NCW) and Park City fixed-width (PRODUCERS_ORDERS). Determines whether Tray must build one format or two.</t>
  </si>
  <si>
    <t>Specs + payloads</t>
  </si>
  <si>
    <t>Can you send an actual spec for every EDI document type (850, 810, 855, 856, 852, 880/894 and any others), meeting the requirements on the 'Spec Requirements' tab? For each, also send related payloads: the raw EDI and the matching flat file for the same transaction (850, 856, 810 first; Costco examples preferred).</t>
  </si>
  <si>
    <t>The 850 Word doc is research, not a complete spec. It references an 'original 850 layout doc' and Park City layout docs (Walmart 60A, Costco 50A, Pitco); ask for those originals too.</t>
  </si>
  <si>
    <t>Cross-reference</t>
  </si>
  <si>
    <t>Can you send the ERMS cross-reference file? Which values does ERMS check against it (item numbers, UPCs, store/ship-to IDs)?</t>
  </si>
  <si>
    <t>The spec defines the file's structure; the cross-reference file is ERMS master data that translates partner codes into ERMS codes. One miss drops the whole file, so Tray needs it to validate before sending.</t>
  </si>
  <si>
    <t>Aptean vs ERMS</t>
  </si>
  <si>
    <t>Are the Aptean mappings the same as the ERMS flat file mappings? Does Aptean apply partner-specific logic or cross-references on top of the ERMS layout, and can those maps be exported?</t>
  </si>
  <si>
    <t>The ERMS-side flat file stays the same after cutover; Tray replaces Aptean as its producer. Any logic Aptean adds per partner has to be rebuilt in Tray.</t>
  </si>
  <si>
    <t>High</t>
  </si>
  <si>
    <t>Costco pilot</t>
  </si>
  <si>
    <t>What is the target go-live date for Costco?</t>
  </si>
  <si>
    <t>Drives the whole timeline. Aptean shut-off estimate is Jan/Feb 2027 and overlap cost is a known concern.</t>
  </si>
  <si>
    <t>Which Costco relationships are in the pilot? (SPS 850/860/810, ASN 856, VMI 852, Park City Group)</t>
  </si>
  <si>
    <t>Client inventory shows 4 separate Costco relationships under different plant IDs.</t>
  </si>
  <si>
    <t>ISA IDs / plant routing</t>
  </si>
  <si>
    <t>Do we keep the current plant-based ISA IDs (PRODNCS, UMPQUA, PRODDAIR, PRODUCENCS) or switch to new Orderful ISA IDs? If new, one per plant or one total?</t>
  </si>
  <si>
    <t>Kickoff notes say 'net new Orderful ISA IDs.' But today the receiver ID is often how an order is routed to a plant (e.g., Walmart orders to Umpqua's ID vs PRODDAIR). The 850 rarely carries the plant itself.</t>
  </si>
  <si>
    <t>How does ERMS know which plant an 850 is for today: receiver ID, file name prefix (NCS vs NCW), import folder, or something else?</t>
  </si>
  <si>
    <t>Mark's read: plant is sometimes passed on the 850 as a code. Need to see real payloads.</t>
  </si>
  <si>
    <t>Working model</t>
  </si>
  <si>
    <t>Who on your side answers field-level questions while we map offline, and how quickly can they turn them around?</t>
  </si>
  <si>
    <t>Plan: Concurrent maps and tests offline, then brings back only questions.</t>
  </si>
  <si>
    <t>ERMS import</t>
  </si>
  <si>
    <t>Which ERMS fields are mandatory for an import to succeed?</t>
  </si>
  <si>
    <t>ERMS drops the whole file on an error. Should be covered by the spec (see Spec Requirements).</t>
  </si>
  <si>
    <t>How does ERMS identify the ship-to and bill-to? Is the ID alone enough?</t>
  </si>
  <si>
    <t>Ship-to/bill-to layout varies by account (name present, name blank, or only an ID).</t>
  </si>
  <si>
    <t>Does ERMS have a test environment, or a way to keep test 850s out of production?</t>
  </si>
  <si>
    <t>Avoid test orders becoming real orders.</t>
  </si>
  <si>
    <t>Can BizLink send one file to two destinations, so we can compare our output against Aptean's?</t>
  </si>
  <si>
    <t>Enables low-risk parallel testing.</t>
  </si>
  <si>
    <t>How will Costco ASNs (pallet/SSCC data) and labels be handled?</t>
  </si>
  <si>
    <t>Most ERMS 856s lack pallet data; Costco requires accurate ASNs.</t>
  </si>
  <si>
    <t>Can you share the SPS testing portal credentials?</t>
  </si>
  <si>
    <t>Kickoff action item for the client.</t>
  </si>
  <si>
    <t>Partners</t>
  </si>
  <si>
    <t>Is the partner list complete so we can mass upload? Are Walgreens and Saladinos still active?</t>
  </si>
  <si>
    <t>Mark uploads once the list is confirmed.</t>
  </si>
  <si>
    <t>Medium</t>
  </si>
  <si>
    <t>When can we get the Mid Valley (Phase 2) partner list?</t>
  </si>
  <si>
    <t>Not in the current inventory.</t>
  </si>
  <si>
    <t>Aptean</t>
  </si>
  <si>
    <t>What's the biggest frustration with Aptean today, and what does success look like for you?</t>
  </si>
  <si>
    <t>Docs point to cost (~$8K/mo), confusing kilo-character billing, two EDI setups, weak error visibility. Confirm in their words.</t>
  </si>
  <si>
    <t>Doc types</t>
  </si>
  <si>
    <t>Do the 820, 812, 864 and 824 need to go into ERMS, or is viewing them in Orderful enough?</t>
  </si>
  <si>
    <t>All inbound, finance/AR-related. Affects build scope.</t>
  </si>
  <si>
    <t>Where does the 855 come from today?</t>
  </si>
  <si>
    <t>Origin unclear in the intake brief.</t>
  </si>
  <si>
    <t>Confirm the 852 carbon copy to Park City Group setup.</t>
  </si>
  <si>
    <t>From kickoff notes.</t>
  </si>
  <si>
    <t>Orderful</t>
  </si>
  <si>
    <t>Status of importing historical data in the Orderful UI?</t>
  </si>
  <si>
    <t>Orderful asked the client to do this.</t>
  </si>
  <si>
    <t>Background</t>
  </si>
  <si>
    <t>What are parse_pipe_850.py / parse_pcg_fixed.py used for? Is your team building any part of the integration?</t>
  </si>
  <si>
    <t>Named in the 850 doc's intro as the source of its JSON field names.</t>
  </si>
  <si>
    <t>What a Usable Flat File Spec Must Include</t>
  </si>
  <si>
    <t>Send to Shehadey with the spec request. One spec per document type; related payloads for each.</t>
  </si>
  <si>
    <t>Area</t>
  </si>
  <si>
    <t>Requirement</t>
  </si>
  <si>
    <t>Included? (Y/N)</t>
  </si>
  <si>
    <t>Scope</t>
  </si>
  <si>
    <t>One spec per document type and direction (e.g., 850 inbound, 810 outbound), per system (ERMS; later AX/Gentran)</t>
  </si>
  <si>
    <t>File structure</t>
  </si>
  <si>
    <t>Record types and the order they appear (e.g., HDR, HST, HBT, HCM, HAL, LDT, LAL, TOT), and which repeat</t>
  </si>
  <si>
    <t>Delimiter (pipe) or fixed-width positions; line endings; character encoding</t>
  </si>
  <si>
    <t>One order per file or many; how one order/invoice/shipment is grouped</t>
  </si>
  <si>
    <t>Fields</t>
  </si>
  <si>
    <t>Every field listed by record and position: field number (or start/end position), name, description</t>
  </si>
  <si>
    <t>Data type and length (min/max) for each field</t>
  </si>
  <si>
    <t>Required, optional or conditional (and the condition) for each field</t>
  </si>
  <si>
    <t>Formats: dates, times, decimals (implied or explicit), padding and justification, leading zeros</t>
  </si>
  <si>
    <t>Valid code values (units of measure, qualifiers, allowance/charge codes) with meanings</t>
  </si>
  <si>
    <t>Which fields ERMS checks against the cross-reference file</t>
  </si>
  <si>
    <t>Behavior</t>
  </si>
  <si>
    <t>How ERMS handles errors (e.g., whole file dropped on a cross-reference error) and where errors are reported</t>
  </si>
  <si>
    <t>How the plant is identified (receiver ID, file prefix, folder, or a field)</t>
  </si>
  <si>
    <t>Any partner-specific variations of the layout</t>
  </si>
  <si>
    <t>Delivery</t>
  </si>
  <si>
    <t>File naming convention and folder (per plant / per document type)</t>
  </si>
  <si>
    <t>Samples</t>
  </si>
  <si>
    <t>Related payloads: the raw EDI and the matching flat file for the same transaction, for each document type and each format</t>
  </si>
  <si>
    <t>Next Steps</t>
  </si>
  <si>
    <t>Fill in due dates and status during the call.</t>
  </si>
  <si>
    <t>Owner</t>
  </si>
  <si>
    <t>Action</t>
  </si>
  <si>
    <t>Due date</t>
  </si>
  <si>
    <t>Shehadey</t>
  </si>
  <si>
    <t>Send a spec for every document type (per Spec Requirements tab), incl. original ERMS and Park City layout docs</t>
  </si>
  <si>
    <t>Send related payloads (raw EDI + matching flat file) for each document type: 850, 856, 810 first, Costco examples preferred</t>
  </si>
  <si>
    <t>Send the ERMS cross-reference file</t>
  </si>
  <si>
    <t>Confirm whether Aptean applies partner-specific logic; export Aptean maps if possible</t>
  </si>
  <si>
    <t>Name the field-question contact and BizLink admin; send BizLink IPs, login preference, folder layout</t>
  </si>
  <si>
    <t>Share SPS testing portal credentials</t>
  </si>
  <si>
    <t>Confirm partner list is complete; send Mid Valley list</t>
  </si>
  <si>
    <t>Concurrent (John)</t>
  </si>
  <si>
    <t>Decide SFTP host (Shehadey vs Concurrent), including any added cost</t>
  </si>
  <si>
    <t>Concurrent (John + Claude)</t>
  </si>
  <si>
    <t>Offline mapping: review specs and payloads, draft maps, test, list questions for Shehadey</t>
  </si>
  <si>
    <t>Concurrent (Mark)</t>
  </si>
  <si>
    <t>Send recap email with owners and dates within 24 hours</t>
  </si>
  <si>
    <t>Confirm mass-upload process with Orderful (Priya); upload partners once list is confirmed</t>
  </si>
  <si>
    <t>Update Asana, the project repo, and the weekly meeting invite</t>
  </si>
  <si>
    <t>Recommend ISA approach that preserves plant routing (per-plant IDs vs single ID)</t>
  </si>
  <si>
    <t>Confirm support for UCS doc types, version 4030, and the shared clearinghouse routing</t>
  </si>
  <si>
    <t>Confirm or walk back the former sales rep's commitments (9-day partner go-live, pricing, 997s)</t>
  </si>
  <si>
    <t>Blockers</t>
  </si>
  <si>
    <t>What's holding the project up, and who clears it.</t>
  </si>
  <si>
    <t>Blocker</t>
  </si>
  <si>
    <t>Impact</t>
  </si>
  <si>
    <t>Owner to clear</t>
  </si>
  <si>
    <t>Target date</t>
  </si>
  <si>
    <t>SFTP owner undecided</t>
  </si>
  <si>
    <t>No BizLink connectivity, so no end-to-end testing</t>
  </si>
  <si>
    <t>Unclear whether Tray builds one 850 format or two</t>
  </si>
  <si>
    <t>Can't scope or start the inbound build</t>
  </si>
  <si>
    <t>Specs and related payloads not received</t>
  </si>
  <si>
    <t>No mapping can start for any document type</t>
  </si>
  <si>
    <t>ERMS cross-reference file not received</t>
  </si>
  <si>
    <t>Can't validate files before sending; risk of ERMS dropping whole files</t>
  </si>
  <si>
    <t>Unknown whether Aptean adds partner-specific logic</t>
  </si>
  <si>
    <t>Hidden logic could be missed in the Tray build</t>
  </si>
  <si>
    <t>ISA ID / plant routing undecided</t>
  </si>
  <si>
    <t>Can't configure Orderful relationships or Costco trade requests; risk of orders reaching the wrong plant</t>
  </si>
  <si>
    <t>Shehadey + Orderful</t>
  </si>
  <si>
    <t>Costco go-live date and pilot scope not set</t>
  </si>
  <si>
    <t>Can't build the timeline or prioritize mapping</t>
  </si>
  <si>
    <t>Partner list not confirmed complete</t>
  </si>
  <si>
    <t>Mass upload to Orderful on hold</t>
  </si>
  <si>
    <t>Parked for the Mapping Call</t>
  </si>
  <si>
    <t>Line-level questions. Not for today; Concurrent will raise only those still open after offline mapping.</t>
  </si>
  <si>
    <t>Question</t>
  </si>
  <si>
    <t>HDR fields 21/22 and 34: what are they, and does ERMS use them?</t>
  </si>
  <si>
    <t>TOT (totals) record is always empty. Does ERMS still need the line present?</t>
  </si>
  <si>
    <t>LDT field 2: vendor item number or UPC? Does it vary by partner? Field 5 vs field 25 descriptions?</t>
  </si>
  <si>
    <t>Unit of measure: is it only CA = cases, everything else = eaches?</t>
  </si>
  <si>
    <t>Allowance/charge codes (I410, C110): the only ones ERMS acts on? Pass others through?</t>
  </si>
  <si>
    <t>HCM comments: should all partner notes and legal text go into HCM?</t>
  </si>
  <si>
    <t>Yes Concurrent will provide this</t>
  </si>
  <si>
    <t xml:space="preserve">Yes they will have 2 different flat file types </t>
  </si>
  <si>
    <t>Adam will either send mutiple files or will provide Concurrent direct access to APTEAN</t>
  </si>
  <si>
    <t>No cross reference file is available</t>
  </si>
  <si>
    <t>Yes they are the same (confirm via the transcript)</t>
  </si>
  <si>
    <t>ASAP</t>
  </si>
  <si>
    <t xml:space="preserve">Use Orderfuls </t>
  </si>
  <si>
    <t xml:space="preserve">Duns number </t>
  </si>
  <si>
    <t xml:space="preserve">Need to map for a single plant. </t>
  </si>
  <si>
    <t xml:space="preserve">Repositrack AS2 </t>
  </si>
  <si>
    <t>Adam</t>
  </si>
  <si>
    <t xml:space="preserve">Pending - </t>
  </si>
  <si>
    <t xml:space="preserve">HDR - TOT are the mandatory fields, anything else is dropped.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</si>
</sst>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CE4E4"/>
        <bgColor rgb="FFFFF4D6"/>
      </patternFill>
    </fill>
    <fill>
      <patternFill patternType="solid">
        <fgColor rgb="FFFFFF99"/>
        <bgColor rgb="FFFFF4D6"/>
      </patternFill>
    </fill>
    <fill>
      <patternFill patternType="solid">
        <fgColor rgb="FFFFF4D6"/>
        <bgColor rgb="FFFCE4E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4" fillId="0" borderId="0" xfId="0" applyFont="1"/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4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zoomScaleNormal="100" workbookViewId="0"/>
  </sheetViews>
  <sheetFormatPr defaultColWidth="8.6328125" defaultRowHeight="14.5" x14ac:dyDescent="0.35"/>
  <cols>
    <col min="1" max="1" width="5" customWidth="1"/>
    <col min="2" max="2" width="46" customWidth="1"/>
    <col min="3" max="3" width="18" customWidth="1"/>
    <col min="4" max="4" width="10" customWidth="1"/>
    <col min="5" max="5" width="60" customWidth="1"/>
  </cols>
  <sheetData>
    <row r="1" spans="1:5" ht="18" x14ac:dyDescent="0.4">
      <c r="A1" s="1" t="s">
        <v>0</v>
      </c>
    </row>
    <row r="2" spans="1:5" x14ac:dyDescent="0.35">
      <c r="A2" s="2" t="s">
        <v>1</v>
      </c>
    </row>
    <row r="4" spans="1:5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5">
      <c r="A5" s="4">
        <v>1</v>
      </c>
      <c r="B5" s="4" t="s">
        <v>7</v>
      </c>
      <c r="C5" s="4" t="s">
        <v>8</v>
      </c>
      <c r="D5" s="4">
        <v>2</v>
      </c>
      <c r="E5" s="4" t="s">
        <v>9</v>
      </c>
    </row>
    <row r="6" spans="1:5" x14ac:dyDescent="0.35">
      <c r="A6" s="4">
        <v>2</v>
      </c>
      <c r="B6" s="5" t="s">
        <v>10</v>
      </c>
      <c r="C6" s="4" t="s">
        <v>11</v>
      </c>
      <c r="D6" s="4">
        <v>6</v>
      </c>
      <c r="E6" s="4" t="s">
        <v>12</v>
      </c>
    </row>
    <row r="7" spans="1:5" ht="26" x14ac:dyDescent="0.35">
      <c r="A7" s="4">
        <v>3</v>
      </c>
      <c r="B7" s="5" t="s">
        <v>13</v>
      </c>
      <c r="C7" s="4" t="s">
        <v>11</v>
      </c>
      <c r="D7" s="4">
        <v>5</v>
      </c>
      <c r="E7" s="4" t="s">
        <v>14</v>
      </c>
    </row>
    <row r="8" spans="1:5" x14ac:dyDescent="0.35">
      <c r="A8" s="4">
        <v>4</v>
      </c>
      <c r="B8" s="5" t="s">
        <v>15</v>
      </c>
      <c r="C8" s="4" t="s">
        <v>11</v>
      </c>
      <c r="D8" s="4">
        <v>8</v>
      </c>
      <c r="E8" s="4" t="s">
        <v>16</v>
      </c>
    </row>
    <row r="9" spans="1:5" x14ac:dyDescent="0.35">
      <c r="A9" s="4">
        <v>5</v>
      </c>
      <c r="B9" s="5" t="s">
        <v>17</v>
      </c>
      <c r="C9" s="4" t="s">
        <v>11</v>
      </c>
      <c r="D9" s="4">
        <v>3</v>
      </c>
      <c r="E9" s="4" t="s">
        <v>18</v>
      </c>
    </row>
    <row r="10" spans="1:5" x14ac:dyDescent="0.35">
      <c r="A10" s="4">
        <v>6</v>
      </c>
      <c r="B10" s="5" t="s">
        <v>19</v>
      </c>
      <c r="C10" s="4" t="s">
        <v>11</v>
      </c>
      <c r="D10" s="4">
        <v>4</v>
      </c>
      <c r="E10" s="4" t="s">
        <v>20</v>
      </c>
    </row>
    <row r="11" spans="1:5" x14ac:dyDescent="0.35">
      <c r="A11" s="4">
        <v>7</v>
      </c>
      <c r="B11" s="4" t="s">
        <v>21</v>
      </c>
      <c r="C11" s="4" t="s">
        <v>8</v>
      </c>
      <c r="D11" s="4">
        <v>7</v>
      </c>
      <c r="E11" s="4" t="s">
        <v>22</v>
      </c>
    </row>
    <row r="12" spans="1:5" x14ac:dyDescent="0.35">
      <c r="A12" s="4">
        <v>8</v>
      </c>
      <c r="B12" s="4" t="s">
        <v>23</v>
      </c>
      <c r="C12" s="4" t="s">
        <v>8</v>
      </c>
      <c r="D12" s="4">
        <v>5</v>
      </c>
      <c r="E12" s="4" t="s">
        <v>24</v>
      </c>
    </row>
    <row r="13" spans="1:5" x14ac:dyDescent="0.35">
      <c r="A13" s="4">
        <v>9</v>
      </c>
      <c r="B13" s="4" t="s">
        <v>25</v>
      </c>
      <c r="C13" s="4" t="s">
        <v>8</v>
      </c>
      <c r="D13" s="4">
        <v>5</v>
      </c>
      <c r="E13" s="4" t="s">
        <v>26</v>
      </c>
    </row>
    <row r="14" spans="1:5" x14ac:dyDescent="0.35">
      <c r="B14" s="6" t="s">
        <v>27</v>
      </c>
      <c r="D14" s="7">
        <f>SUM(D5:D13)</f>
        <v>45</v>
      </c>
    </row>
    <row r="16" spans="1:5" x14ac:dyDescent="0.35">
      <c r="B16" s="8" t="s">
        <v>28</v>
      </c>
    </row>
    <row r="17" spans="2:4" x14ac:dyDescent="0.35">
      <c r="B17" s="9" t="s">
        <v>29</v>
      </c>
    </row>
    <row r="18" spans="2:4" x14ac:dyDescent="0.35">
      <c r="B18" s="9" t="s">
        <v>30</v>
      </c>
    </row>
    <row r="19" spans="2:4" x14ac:dyDescent="0.35">
      <c r="B19" s="9" t="s">
        <v>31</v>
      </c>
    </row>
    <row r="20" spans="2:4" x14ac:dyDescent="0.35">
      <c r="B20" s="9" t="s">
        <v>32</v>
      </c>
    </row>
    <row r="21" spans="2:4" x14ac:dyDescent="0.35">
      <c r="B21" s="9" t="s">
        <v>33</v>
      </c>
    </row>
    <row r="22" spans="2:4" x14ac:dyDescent="0.35">
      <c r="B22" s="9" t="s">
        <v>34</v>
      </c>
    </row>
    <row r="24" spans="2:4" x14ac:dyDescent="0.35">
      <c r="B24" s="6" t="s">
        <v>35</v>
      </c>
      <c r="D24" s="9">
        <f>COUNTIF(Questions!H5:H28,"Open")</f>
        <v>24</v>
      </c>
    </row>
    <row r="25" spans="2:4" x14ac:dyDescent="0.35">
      <c r="B25" s="6" t="s">
        <v>36</v>
      </c>
      <c r="D25" s="9">
        <f>COUNTIFS(Questions!B5:B28,"Critical",Questions!H5:H28,"Open")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zoomScaleNormal="100" workbookViewId="0">
      <pane ySplit="4" topLeftCell="A12" activePane="bottomLeft" state="frozen"/>
      <selection pane="bottomLeft" activeCell="D18" sqref="D18"/>
    </sheetView>
  </sheetViews>
  <sheetFormatPr defaultColWidth="8.6328125" defaultRowHeight="14.5" x14ac:dyDescent="0.35"/>
  <cols>
    <col min="1" max="1" width="5" customWidth="1"/>
    <col min="2" max="2" width="10" customWidth="1"/>
    <col min="3" max="3" width="18" customWidth="1"/>
    <col min="4" max="5" width="60" customWidth="1"/>
    <col min="6" max="6" width="16" customWidth="1"/>
    <col min="7" max="7" width="40" customWidth="1"/>
    <col min="8" max="8" width="12" customWidth="1"/>
  </cols>
  <sheetData>
    <row r="1" spans="1:9" ht="18" x14ac:dyDescent="0.4">
      <c r="A1" s="1" t="s">
        <v>37</v>
      </c>
    </row>
    <row r="2" spans="1:9" x14ac:dyDescent="0.35">
      <c r="A2" s="2" t="s">
        <v>38</v>
      </c>
    </row>
    <row r="4" spans="1:9" x14ac:dyDescent="0.35">
      <c r="A4" s="3" t="s">
        <v>2</v>
      </c>
      <c r="B4" s="3" t="s">
        <v>39</v>
      </c>
      <c r="C4" s="3" t="s">
        <v>3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</row>
    <row r="5" spans="1:9" ht="62.5" x14ac:dyDescent="0.35">
      <c r="A5" s="10">
        <v>1</v>
      </c>
      <c r="B5" s="10" t="s">
        <v>45</v>
      </c>
      <c r="C5" s="10" t="s">
        <v>46</v>
      </c>
      <c r="D5" s="10" t="s">
        <v>47</v>
      </c>
      <c r="E5" s="10" t="s">
        <v>48</v>
      </c>
      <c r="F5" s="11"/>
      <c r="G5" s="11"/>
      <c r="H5" s="11" t="s">
        <v>49</v>
      </c>
      <c r="I5" s="13" t="s">
        <v>193</v>
      </c>
    </row>
    <row r="6" spans="1:9" ht="75" x14ac:dyDescent="0.35">
      <c r="A6" s="10">
        <v>2</v>
      </c>
      <c r="B6" s="10" t="s">
        <v>45</v>
      </c>
      <c r="C6" s="10" t="s">
        <v>50</v>
      </c>
      <c r="D6" s="10" t="s">
        <v>51</v>
      </c>
      <c r="E6" s="10" t="s">
        <v>52</v>
      </c>
      <c r="F6" s="11"/>
      <c r="G6" s="11"/>
      <c r="H6" s="11" t="s">
        <v>49</v>
      </c>
      <c r="I6" s="13" t="s">
        <v>194</v>
      </c>
    </row>
    <row r="7" spans="1:9" ht="137.5" x14ac:dyDescent="0.35">
      <c r="A7" s="10">
        <v>3</v>
      </c>
      <c r="B7" s="10" t="s">
        <v>45</v>
      </c>
      <c r="C7" s="10" t="s">
        <v>53</v>
      </c>
      <c r="D7" s="10" t="s">
        <v>54</v>
      </c>
      <c r="E7" s="10" t="s">
        <v>55</v>
      </c>
      <c r="F7" s="11"/>
      <c r="G7" s="11"/>
      <c r="H7" s="11" t="s">
        <v>49</v>
      </c>
      <c r="I7" s="13" t="s">
        <v>195</v>
      </c>
    </row>
    <row r="8" spans="1:9" ht="50" x14ac:dyDescent="0.35">
      <c r="A8" s="10">
        <v>4</v>
      </c>
      <c r="B8" s="10" t="s">
        <v>45</v>
      </c>
      <c r="C8" s="10" t="s">
        <v>56</v>
      </c>
      <c r="D8" s="10" t="s">
        <v>57</v>
      </c>
      <c r="E8" s="10" t="s">
        <v>58</v>
      </c>
      <c r="F8" s="11"/>
      <c r="G8" s="11"/>
      <c r="H8" s="11" t="s">
        <v>49</v>
      </c>
      <c r="I8" s="14" t="s">
        <v>196</v>
      </c>
    </row>
    <row r="9" spans="1:9" ht="87.5" x14ac:dyDescent="0.35">
      <c r="A9" s="10">
        <v>5</v>
      </c>
      <c r="B9" s="10" t="s">
        <v>45</v>
      </c>
      <c r="C9" s="10" t="s">
        <v>59</v>
      </c>
      <c r="D9" s="10" t="s">
        <v>60</v>
      </c>
      <c r="E9" s="10" t="s">
        <v>61</v>
      </c>
      <c r="F9" s="11"/>
      <c r="G9" s="11"/>
      <c r="H9" s="11" t="s">
        <v>49</v>
      </c>
      <c r="I9" s="14" t="s">
        <v>197</v>
      </c>
    </row>
    <row r="10" spans="1:9" ht="25" x14ac:dyDescent="0.35">
      <c r="A10" s="4">
        <v>6</v>
      </c>
      <c r="B10" s="12" t="s">
        <v>62</v>
      </c>
      <c r="C10" s="4" t="s">
        <v>63</v>
      </c>
      <c r="D10" s="4" t="s">
        <v>64</v>
      </c>
      <c r="E10" s="4" t="s">
        <v>65</v>
      </c>
      <c r="F10" s="11"/>
      <c r="G10" s="11"/>
      <c r="H10" s="11" t="s">
        <v>49</v>
      </c>
      <c r="I10" s="14" t="s">
        <v>198</v>
      </c>
    </row>
    <row r="11" spans="1:9" ht="25" x14ac:dyDescent="0.35">
      <c r="A11" s="4">
        <v>7</v>
      </c>
      <c r="B11" s="12" t="s">
        <v>62</v>
      </c>
      <c r="C11" s="4" t="s">
        <v>63</v>
      </c>
      <c r="D11" s="4" t="s">
        <v>66</v>
      </c>
      <c r="E11" s="4" t="s">
        <v>67</v>
      </c>
      <c r="F11" s="11"/>
      <c r="G11" s="11"/>
      <c r="H11" s="11" t="s">
        <v>49</v>
      </c>
    </row>
    <row r="12" spans="1:9" ht="37.5" x14ac:dyDescent="0.35">
      <c r="A12" s="4">
        <v>8</v>
      </c>
      <c r="B12" s="12" t="s">
        <v>62</v>
      </c>
      <c r="C12" s="4" t="s">
        <v>68</v>
      </c>
      <c r="D12" s="4" t="s">
        <v>69</v>
      </c>
      <c r="E12" s="4" t="s">
        <v>70</v>
      </c>
      <c r="F12" s="11"/>
      <c r="G12" s="11"/>
      <c r="H12" s="11" t="s">
        <v>49</v>
      </c>
      <c r="I12" s="14" t="s">
        <v>199</v>
      </c>
    </row>
    <row r="13" spans="1:9" ht="25" x14ac:dyDescent="0.35">
      <c r="A13" s="4">
        <v>9</v>
      </c>
      <c r="B13" s="12" t="s">
        <v>62</v>
      </c>
      <c r="C13" s="4" t="s">
        <v>68</v>
      </c>
      <c r="D13" s="4" t="s">
        <v>71</v>
      </c>
      <c r="E13" s="4" t="s">
        <v>72</v>
      </c>
      <c r="F13" s="11"/>
      <c r="G13" s="11"/>
      <c r="H13" s="11" t="s">
        <v>49</v>
      </c>
      <c r="I13" s="14" t="s">
        <v>200</v>
      </c>
    </row>
    <row r="14" spans="1:9" ht="25" x14ac:dyDescent="0.35">
      <c r="A14" s="4">
        <v>10</v>
      </c>
      <c r="B14" s="12" t="s">
        <v>62</v>
      </c>
      <c r="C14" s="4" t="s">
        <v>73</v>
      </c>
      <c r="D14" s="4" t="s">
        <v>74</v>
      </c>
      <c r="E14" s="4" t="s">
        <v>75</v>
      </c>
      <c r="F14" s="11"/>
      <c r="G14" s="11"/>
      <c r="H14" s="11" t="s">
        <v>49</v>
      </c>
      <c r="I14" s="14" t="s">
        <v>203</v>
      </c>
    </row>
    <row r="15" spans="1:9" ht="25" x14ac:dyDescent="0.35">
      <c r="A15" s="4">
        <v>11</v>
      </c>
      <c r="B15" s="12" t="s">
        <v>62</v>
      </c>
      <c r="C15" s="4" t="s">
        <v>76</v>
      </c>
      <c r="D15" s="4" t="s">
        <v>77</v>
      </c>
      <c r="E15" s="4" t="s">
        <v>78</v>
      </c>
      <c r="F15" s="11"/>
      <c r="G15" s="11"/>
      <c r="H15" s="11" t="s">
        <v>49</v>
      </c>
      <c r="I15" s="14" t="s">
        <v>204</v>
      </c>
    </row>
    <row r="16" spans="1:9" ht="100" x14ac:dyDescent="0.35">
      <c r="A16" s="4">
        <v>12</v>
      </c>
      <c r="B16" s="12" t="s">
        <v>62</v>
      </c>
      <c r="C16" s="4" t="s">
        <v>76</v>
      </c>
      <c r="D16" s="4" t="s">
        <v>79</v>
      </c>
      <c r="E16" s="4" t="s">
        <v>80</v>
      </c>
      <c r="F16" s="11"/>
      <c r="G16" s="11"/>
      <c r="H16" s="11" t="s">
        <v>49</v>
      </c>
      <c r="I16" s="14" t="s">
        <v>205</v>
      </c>
    </row>
    <row r="17" spans="1:9" ht="25" x14ac:dyDescent="0.35">
      <c r="A17" s="4">
        <v>13</v>
      </c>
      <c r="B17" s="12" t="s">
        <v>62</v>
      </c>
      <c r="C17" s="4" t="s">
        <v>76</v>
      </c>
      <c r="D17" s="4" t="s">
        <v>81</v>
      </c>
      <c r="E17" s="4" t="s">
        <v>82</v>
      </c>
      <c r="F17" s="11"/>
      <c r="G17" s="11"/>
      <c r="H17" s="11" t="s">
        <v>49</v>
      </c>
    </row>
    <row r="18" spans="1:9" ht="25" x14ac:dyDescent="0.35">
      <c r="A18" s="4">
        <v>14</v>
      </c>
      <c r="B18" s="12" t="s">
        <v>62</v>
      </c>
      <c r="C18" s="4" t="s">
        <v>46</v>
      </c>
      <c r="D18" s="4" t="s">
        <v>83</v>
      </c>
      <c r="E18" s="4" t="s">
        <v>84</v>
      </c>
      <c r="F18" s="11"/>
      <c r="G18" s="11"/>
      <c r="H18" s="11" t="s">
        <v>49</v>
      </c>
    </row>
    <row r="19" spans="1:9" x14ac:dyDescent="0.35">
      <c r="A19" s="4">
        <v>15</v>
      </c>
      <c r="B19" s="12" t="s">
        <v>62</v>
      </c>
      <c r="C19" s="4" t="s">
        <v>63</v>
      </c>
      <c r="D19" s="4" t="s">
        <v>85</v>
      </c>
      <c r="E19" s="4" t="s">
        <v>86</v>
      </c>
      <c r="F19" s="11"/>
      <c r="G19" s="11"/>
      <c r="H19" s="11" t="s">
        <v>49</v>
      </c>
    </row>
    <row r="20" spans="1:9" x14ac:dyDescent="0.35">
      <c r="A20" s="4">
        <v>16</v>
      </c>
      <c r="B20" s="12" t="s">
        <v>62</v>
      </c>
      <c r="C20" s="4" t="s">
        <v>63</v>
      </c>
      <c r="D20" s="4" t="s">
        <v>87</v>
      </c>
      <c r="E20" s="4" t="s">
        <v>88</v>
      </c>
      <c r="F20" s="11"/>
      <c r="G20" s="11"/>
      <c r="H20" s="11" t="s">
        <v>49</v>
      </c>
    </row>
    <row r="21" spans="1:9" ht="25" x14ac:dyDescent="0.35">
      <c r="A21" s="4">
        <v>17</v>
      </c>
      <c r="B21" s="12" t="s">
        <v>62</v>
      </c>
      <c r="C21" s="4" t="s">
        <v>89</v>
      </c>
      <c r="D21" s="4" t="s">
        <v>90</v>
      </c>
      <c r="E21" s="4" t="s">
        <v>91</v>
      </c>
      <c r="F21" s="11"/>
      <c r="G21" s="11"/>
      <c r="H21" s="11" t="s">
        <v>49</v>
      </c>
    </row>
    <row r="22" spans="1:9" x14ac:dyDescent="0.35">
      <c r="A22" s="4">
        <v>18</v>
      </c>
      <c r="B22" s="4" t="s">
        <v>92</v>
      </c>
      <c r="C22" s="4" t="s">
        <v>89</v>
      </c>
      <c r="D22" s="4" t="s">
        <v>93</v>
      </c>
      <c r="E22" s="4" t="s">
        <v>94</v>
      </c>
      <c r="F22" s="11"/>
      <c r="G22" s="11"/>
      <c r="H22" s="11" t="s">
        <v>49</v>
      </c>
    </row>
    <row r="23" spans="1:9" ht="25" x14ac:dyDescent="0.35">
      <c r="A23" s="4">
        <v>19</v>
      </c>
      <c r="B23" s="4" t="s">
        <v>92</v>
      </c>
      <c r="C23" s="4" t="s">
        <v>95</v>
      </c>
      <c r="D23" s="4" t="s">
        <v>96</v>
      </c>
      <c r="E23" s="4" t="s">
        <v>97</v>
      </c>
      <c r="F23" s="11"/>
      <c r="G23" s="11"/>
      <c r="H23" s="11" t="s">
        <v>49</v>
      </c>
    </row>
    <row r="24" spans="1:9" ht="25" x14ac:dyDescent="0.35">
      <c r="A24" s="4">
        <v>20</v>
      </c>
      <c r="B24" s="4" t="s">
        <v>92</v>
      </c>
      <c r="C24" s="4" t="s">
        <v>98</v>
      </c>
      <c r="D24" s="4" t="s">
        <v>99</v>
      </c>
      <c r="E24" s="4" t="s">
        <v>100</v>
      </c>
      <c r="F24" s="11"/>
      <c r="G24" s="11"/>
      <c r="H24" s="11" t="s">
        <v>49</v>
      </c>
    </row>
    <row r="25" spans="1:9" x14ac:dyDescent="0.35">
      <c r="A25" s="4">
        <v>21</v>
      </c>
      <c r="B25" s="4" t="s">
        <v>92</v>
      </c>
      <c r="C25" s="4" t="s">
        <v>98</v>
      </c>
      <c r="D25" s="4" t="s">
        <v>101</v>
      </c>
      <c r="E25" s="4" t="s">
        <v>102</v>
      </c>
      <c r="F25" s="11"/>
      <c r="G25" s="11"/>
      <c r="H25" s="11" t="s">
        <v>49</v>
      </c>
    </row>
    <row r="26" spans="1:9" x14ac:dyDescent="0.35">
      <c r="A26" s="4">
        <v>22</v>
      </c>
      <c r="B26" s="4" t="s">
        <v>92</v>
      </c>
      <c r="C26" s="4" t="s">
        <v>98</v>
      </c>
      <c r="D26" s="4" t="s">
        <v>103</v>
      </c>
      <c r="E26" s="4" t="s">
        <v>104</v>
      </c>
      <c r="F26" s="11"/>
      <c r="G26" s="11"/>
      <c r="H26" s="11" t="s">
        <v>49</v>
      </c>
    </row>
    <row r="27" spans="1:9" x14ac:dyDescent="0.35">
      <c r="A27" s="4">
        <v>23</v>
      </c>
      <c r="B27" s="4" t="s">
        <v>92</v>
      </c>
      <c r="C27" s="4" t="s">
        <v>105</v>
      </c>
      <c r="D27" s="4" t="s">
        <v>106</v>
      </c>
      <c r="E27" s="4" t="s">
        <v>107</v>
      </c>
      <c r="F27" s="11"/>
      <c r="G27" s="11"/>
      <c r="H27" s="11" t="s">
        <v>49</v>
      </c>
    </row>
    <row r="28" spans="1:9" ht="25" x14ac:dyDescent="0.35">
      <c r="A28" s="4">
        <v>24</v>
      </c>
      <c r="B28" s="4" t="s">
        <v>92</v>
      </c>
      <c r="C28" s="4" t="s">
        <v>108</v>
      </c>
      <c r="D28" s="4" t="s">
        <v>109</v>
      </c>
      <c r="E28" s="4" t="s">
        <v>110</v>
      </c>
      <c r="F28" s="11"/>
      <c r="G28" s="11"/>
      <c r="H28" s="11" t="s">
        <v>49</v>
      </c>
    </row>
    <row r="30" spans="1:9" x14ac:dyDescent="0.35">
      <c r="I30" t="s">
        <v>201</v>
      </c>
    </row>
    <row r="31" spans="1:9" x14ac:dyDescent="0.35">
      <c r="I31" t="s">
        <v>202</v>
      </c>
    </row>
  </sheetData>
  <autoFilter ref="A4:H28" xr:uid="{00000000-0009-0000-0000-000001000000}"/>
  <dataValidations count="1">
    <dataValidation type="list" allowBlank="1" sqref="H5:H28" xr:uid="{00000000-0002-0000-0100-000000000000}">
      <formula1>"Open,Answered,Follow-up"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16" customWidth="1"/>
    <col min="3" max="3" width="95" customWidth="1"/>
    <col min="4" max="4" width="14" customWidth="1"/>
  </cols>
  <sheetData>
    <row r="1" spans="1:4" ht="18" x14ac:dyDescent="0.4">
      <c r="A1" s="1" t="s">
        <v>111</v>
      </c>
    </row>
    <row r="2" spans="1:4" x14ac:dyDescent="0.35">
      <c r="A2" s="2" t="s">
        <v>112</v>
      </c>
    </row>
    <row r="4" spans="1:4" ht="26" x14ac:dyDescent="0.35">
      <c r="A4" s="3" t="s">
        <v>2</v>
      </c>
      <c r="B4" s="3" t="s">
        <v>113</v>
      </c>
      <c r="C4" s="3" t="s">
        <v>114</v>
      </c>
      <c r="D4" s="3" t="s">
        <v>115</v>
      </c>
    </row>
    <row r="5" spans="1:4" ht="25" x14ac:dyDescent="0.35">
      <c r="A5" s="4">
        <v>1</v>
      </c>
      <c r="B5" s="4" t="s">
        <v>116</v>
      </c>
      <c r="C5" s="4" t="s">
        <v>117</v>
      </c>
      <c r="D5" s="11"/>
    </row>
    <row r="6" spans="1:4" x14ac:dyDescent="0.35">
      <c r="A6" s="4">
        <v>2</v>
      </c>
      <c r="B6" s="4" t="s">
        <v>118</v>
      </c>
      <c r="C6" s="4" t="s">
        <v>119</v>
      </c>
      <c r="D6" s="11"/>
    </row>
    <row r="7" spans="1:4" x14ac:dyDescent="0.35">
      <c r="A7" s="4">
        <v>3</v>
      </c>
      <c r="B7" s="4" t="s">
        <v>118</v>
      </c>
      <c r="C7" s="4" t="s">
        <v>120</v>
      </c>
      <c r="D7" s="11"/>
    </row>
    <row r="8" spans="1:4" x14ac:dyDescent="0.35">
      <c r="A8" s="4">
        <v>4</v>
      </c>
      <c r="B8" s="4" t="s">
        <v>118</v>
      </c>
      <c r="C8" s="4" t="s">
        <v>121</v>
      </c>
      <c r="D8" s="11"/>
    </row>
    <row r="9" spans="1:4" x14ac:dyDescent="0.35">
      <c r="A9" s="4">
        <v>5</v>
      </c>
      <c r="B9" s="4" t="s">
        <v>122</v>
      </c>
      <c r="C9" s="4" t="s">
        <v>123</v>
      </c>
      <c r="D9" s="11"/>
    </row>
    <row r="10" spans="1:4" x14ac:dyDescent="0.35">
      <c r="A10" s="4">
        <v>6</v>
      </c>
      <c r="B10" s="4" t="s">
        <v>122</v>
      </c>
      <c r="C10" s="4" t="s">
        <v>124</v>
      </c>
      <c r="D10" s="11"/>
    </row>
    <row r="11" spans="1:4" x14ac:dyDescent="0.35">
      <c r="A11" s="4">
        <v>7</v>
      </c>
      <c r="B11" s="4" t="s">
        <v>122</v>
      </c>
      <c r="C11" s="4" t="s">
        <v>125</v>
      </c>
      <c r="D11" s="11"/>
    </row>
    <row r="12" spans="1:4" x14ac:dyDescent="0.35">
      <c r="A12" s="4">
        <v>8</v>
      </c>
      <c r="B12" s="4" t="s">
        <v>122</v>
      </c>
      <c r="C12" s="4" t="s">
        <v>126</v>
      </c>
      <c r="D12" s="11"/>
    </row>
    <row r="13" spans="1:4" x14ac:dyDescent="0.35">
      <c r="A13" s="4">
        <v>9</v>
      </c>
      <c r="B13" s="4" t="s">
        <v>122</v>
      </c>
      <c r="C13" s="4" t="s">
        <v>127</v>
      </c>
      <c r="D13" s="11"/>
    </row>
    <row r="14" spans="1:4" x14ac:dyDescent="0.35">
      <c r="A14" s="4">
        <v>10</v>
      </c>
      <c r="B14" s="4" t="s">
        <v>122</v>
      </c>
      <c r="C14" s="4" t="s">
        <v>128</v>
      </c>
      <c r="D14" s="11"/>
    </row>
    <row r="15" spans="1:4" x14ac:dyDescent="0.35">
      <c r="A15" s="4">
        <v>11</v>
      </c>
      <c r="B15" s="4" t="s">
        <v>129</v>
      </c>
      <c r="C15" s="4" t="s">
        <v>130</v>
      </c>
      <c r="D15" s="11"/>
    </row>
    <row r="16" spans="1:4" x14ac:dyDescent="0.35">
      <c r="A16" s="4">
        <v>12</v>
      </c>
      <c r="B16" s="4" t="s">
        <v>129</v>
      </c>
      <c r="C16" s="4" t="s">
        <v>131</v>
      </c>
      <c r="D16" s="11"/>
    </row>
    <row r="17" spans="1:4" x14ac:dyDescent="0.35">
      <c r="A17" s="4">
        <v>13</v>
      </c>
      <c r="B17" s="4" t="s">
        <v>129</v>
      </c>
      <c r="C17" s="4" t="s">
        <v>132</v>
      </c>
      <c r="D17" s="11"/>
    </row>
    <row r="18" spans="1:4" x14ac:dyDescent="0.35">
      <c r="A18" s="4">
        <v>14</v>
      </c>
      <c r="B18" s="4" t="s">
        <v>133</v>
      </c>
      <c r="C18" s="4" t="s">
        <v>134</v>
      </c>
      <c r="D18" s="11"/>
    </row>
    <row r="19" spans="1:4" ht="25" x14ac:dyDescent="0.35">
      <c r="A19" s="4">
        <v>15</v>
      </c>
      <c r="B19" s="4" t="s">
        <v>135</v>
      </c>
      <c r="C19" s="4" t="s">
        <v>136</v>
      </c>
      <c r="D19" s="11"/>
    </row>
  </sheetData>
  <autoFilter ref="A4:D1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24" customWidth="1"/>
    <col min="3" max="3" width="80" customWidth="1"/>
    <col min="4" max="4" width="14" customWidth="1"/>
    <col min="5" max="5" width="12" customWidth="1"/>
  </cols>
  <sheetData>
    <row r="1" spans="1:5" ht="18" x14ac:dyDescent="0.4">
      <c r="A1" s="1" t="s">
        <v>137</v>
      </c>
    </row>
    <row r="2" spans="1:5" x14ac:dyDescent="0.35">
      <c r="A2" s="2" t="s">
        <v>138</v>
      </c>
    </row>
    <row r="4" spans="1:5" x14ac:dyDescent="0.35">
      <c r="A4" s="3" t="s">
        <v>2</v>
      </c>
      <c r="B4" s="3" t="s">
        <v>139</v>
      </c>
      <c r="C4" s="3" t="s">
        <v>140</v>
      </c>
      <c r="D4" s="3" t="s">
        <v>141</v>
      </c>
      <c r="E4" s="3" t="s">
        <v>44</v>
      </c>
    </row>
    <row r="5" spans="1:5" ht="25" x14ac:dyDescent="0.35">
      <c r="A5" s="4">
        <v>1</v>
      </c>
      <c r="B5" s="4" t="s">
        <v>142</v>
      </c>
      <c r="C5" s="4" t="s">
        <v>143</v>
      </c>
      <c r="D5" s="11"/>
      <c r="E5" s="11" t="s">
        <v>49</v>
      </c>
    </row>
    <row r="6" spans="1:5" ht="25" x14ac:dyDescent="0.35">
      <c r="A6" s="4">
        <v>2</v>
      </c>
      <c r="B6" s="4" t="s">
        <v>142</v>
      </c>
      <c r="C6" s="4" t="s">
        <v>144</v>
      </c>
      <c r="D6" s="11"/>
      <c r="E6" s="11" t="s">
        <v>49</v>
      </c>
    </row>
    <row r="7" spans="1:5" x14ac:dyDescent="0.35">
      <c r="A7" s="4">
        <v>3</v>
      </c>
      <c r="B7" s="4" t="s">
        <v>142</v>
      </c>
      <c r="C7" s="4" t="s">
        <v>145</v>
      </c>
      <c r="D7" s="11"/>
      <c r="E7" s="11" t="s">
        <v>49</v>
      </c>
    </row>
    <row r="8" spans="1:5" x14ac:dyDescent="0.35">
      <c r="A8" s="4">
        <v>4</v>
      </c>
      <c r="B8" s="4" t="s">
        <v>142</v>
      </c>
      <c r="C8" s="4" t="s">
        <v>146</v>
      </c>
      <c r="D8" s="11"/>
      <c r="E8" s="11" t="s">
        <v>49</v>
      </c>
    </row>
    <row r="9" spans="1:5" ht="25" x14ac:dyDescent="0.35">
      <c r="A9" s="4">
        <v>5</v>
      </c>
      <c r="B9" s="4" t="s">
        <v>142</v>
      </c>
      <c r="C9" s="4" t="s">
        <v>147</v>
      </c>
      <c r="D9" s="11"/>
      <c r="E9" s="11" t="s">
        <v>49</v>
      </c>
    </row>
    <row r="10" spans="1:5" x14ac:dyDescent="0.35">
      <c r="A10" s="4">
        <v>6</v>
      </c>
      <c r="B10" s="4" t="s">
        <v>142</v>
      </c>
      <c r="C10" s="4" t="s">
        <v>148</v>
      </c>
      <c r="D10" s="11"/>
      <c r="E10" s="11" t="s">
        <v>49</v>
      </c>
    </row>
    <row r="11" spans="1:5" x14ac:dyDescent="0.35">
      <c r="A11" s="4">
        <v>7</v>
      </c>
      <c r="B11" s="4" t="s">
        <v>142</v>
      </c>
      <c r="C11" s="4" t="s">
        <v>149</v>
      </c>
      <c r="D11" s="11"/>
      <c r="E11" s="11" t="s">
        <v>49</v>
      </c>
    </row>
    <row r="12" spans="1:5" x14ac:dyDescent="0.35">
      <c r="A12" s="4">
        <v>8</v>
      </c>
      <c r="B12" s="4" t="s">
        <v>150</v>
      </c>
      <c r="C12" s="4" t="s">
        <v>151</v>
      </c>
      <c r="D12" s="11"/>
      <c r="E12" s="11" t="s">
        <v>49</v>
      </c>
    </row>
    <row r="13" spans="1:5" x14ac:dyDescent="0.35">
      <c r="A13" s="4">
        <v>9</v>
      </c>
      <c r="B13" s="4" t="s">
        <v>152</v>
      </c>
      <c r="C13" s="4" t="s">
        <v>153</v>
      </c>
      <c r="D13" s="11"/>
      <c r="E13" s="11" t="s">
        <v>49</v>
      </c>
    </row>
    <row r="14" spans="1:5" x14ac:dyDescent="0.35">
      <c r="A14" s="4">
        <v>10</v>
      </c>
      <c r="B14" s="4" t="s">
        <v>154</v>
      </c>
      <c r="C14" s="4" t="s">
        <v>155</v>
      </c>
      <c r="D14" s="11"/>
      <c r="E14" s="11" t="s">
        <v>49</v>
      </c>
    </row>
    <row r="15" spans="1:5" x14ac:dyDescent="0.35">
      <c r="A15" s="4">
        <v>11</v>
      </c>
      <c r="B15" s="4" t="s">
        <v>154</v>
      </c>
      <c r="C15" s="4" t="s">
        <v>156</v>
      </c>
      <c r="D15" s="11"/>
      <c r="E15" s="11" t="s">
        <v>49</v>
      </c>
    </row>
    <row r="16" spans="1:5" x14ac:dyDescent="0.35">
      <c r="A16" s="4">
        <v>12</v>
      </c>
      <c r="B16" s="4" t="s">
        <v>154</v>
      </c>
      <c r="C16" s="4" t="s">
        <v>157</v>
      </c>
      <c r="D16" s="11"/>
      <c r="E16" s="11" t="s">
        <v>49</v>
      </c>
    </row>
    <row r="17" spans="1:5" x14ac:dyDescent="0.35">
      <c r="A17" s="4">
        <v>13</v>
      </c>
      <c r="B17" s="4" t="s">
        <v>105</v>
      </c>
      <c r="C17" s="4" t="s">
        <v>158</v>
      </c>
      <c r="D17" s="11"/>
      <c r="E17" s="11" t="s">
        <v>49</v>
      </c>
    </row>
    <row r="18" spans="1:5" x14ac:dyDescent="0.35">
      <c r="A18" s="4">
        <v>14</v>
      </c>
      <c r="B18" s="4" t="s">
        <v>105</v>
      </c>
      <c r="C18" s="4" t="s">
        <v>159</v>
      </c>
      <c r="D18" s="11"/>
      <c r="E18" s="11" t="s">
        <v>49</v>
      </c>
    </row>
    <row r="19" spans="1:5" x14ac:dyDescent="0.35">
      <c r="A19" s="4">
        <v>15</v>
      </c>
      <c r="B19" s="4" t="s">
        <v>105</v>
      </c>
      <c r="C19" s="4" t="s">
        <v>160</v>
      </c>
      <c r="D19" s="11"/>
      <c r="E19" s="11" t="s">
        <v>49</v>
      </c>
    </row>
  </sheetData>
  <autoFilter ref="A4:E19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44" customWidth="1"/>
    <col min="3" max="3" width="60" customWidth="1"/>
    <col min="4" max="4" width="22" customWidth="1"/>
    <col min="5" max="5" width="14" customWidth="1"/>
    <col min="6" max="6" width="12" customWidth="1"/>
  </cols>
  <sheetData>
    <row r="1" spans="1:6" ht="18" x14ac:dyDescent="0.4">
      <c r="A1" s="1" t="s">
        <v>161</v>
      </c>
    </row>
    <row r="2" spans="1:6" x14ac:dyDescent="0.35">
      <c r="A2" s="2" t="s">
        <v>162</v>
      </c>
    </row>
    <row r="4" spans="1:6" x14ac:dyDescent="0.35">
      <c r="A4" s="3" t="s">
        <v>2</v>
      </c>
      <c r="B4" s="3" t="s">
        <v>163</v>
      </c>
      <c r="C4" s="3" t="s">
        <v>164</v>
      </c>
      <c r="D4" s="3" t="s">
        <v>165</v>
      </c>
      <c r="E4" s="3" t="s">
        <v>166</v>
      </c>
      <c r="F4" s="3" t="s">
        <v>44</v>
      </c>
    </row>
    <row r="5" spans="1:6" x14ac:dyDescent="0.35">
      <c r="A5" s="4">
        <v>1</v>
      </c>
      <c r="B5" s="4" t="s">
        <v>167</v>
      </c>
      <c r="C5" s="4" t="s">
        <v>168</v>
      </c>
      <c r="D5" s="4" t="s">
        <v>150</v>
      </c>
      <c r="E5" s="11"/>
      <c r="F5" s="11" t="s">
        <v>49</v>
      </c>
    </row>
    <row r="6" spans="1:6" x14ac:dyDescent="0.35">
      <c r="A6" s="4">
        <v>2</v>
      </c>
      <c r="B6" s="4" t="s">
        <v>169</v>
      </c>
      <c r="C6" s="4" t="s">
        <v>170</v>
      </c>
      <c r="D6" s="4" t="s">
        <v>142</v>
      </c>
      <c r="E6" s="11"/>
      <c r="F6" s="11" t="s">
        <v>49</v>
      </c>
    </row>
    <row r="7" spans="1:6" x14ac:dyDescent="0.35">
      <c r="A7" s="4">
        <v>3</v>
      </c>
      <c r="B7" s="4" t="s">
        <v>171</v>
      </c>
      <c r="C7" s="4" t="s">
        <v>172</v>
      </c>
      <c r="D7" s="4" t="s">
        <v>142</v>
      </c>
      <c r="E7" s="11"/>
      <c r="F7" s="11" t="s">
        <v>49</v>
      </c>
    </row>
    <row r="8" spans="1:6" x14ac:dyDescent="0.35">
      <c r="A8" s="4">
        <v>4</v>
      </c>
      <c r="B8" s="4" t="s">
        <v>173</v>
      </c>
      <c r="C8" s="4" t="s">
        <v>174</v>
      </c>
      <c r="D8" s="4" t="s">
        <v>142</v>
      </c>
      <c r="E8" s="11"/>
      <c r="F8" s="11" t="s">
        <v>49</v>
      </c>
    </row>
    <row r="9" spans="1:6" x14ac:dyDescent="0.35">
      <c r="A9" s="4">
        <v>5</v>
      </c>
      <c r="B9" s="4" t="s">
        <v>175</v>
      </c>
      <c r="C9" s="4" t="s">
        <v>176</v>
      </c>
      <c r="D9" s="4" t="s">
        <v>142</v>
      </c>
      <c r="E9" s="11"/>
      <c r="F9" s="11" t="s">
        <v>49</v>
      </c>
    </row>
    <row r="10" spans="1:6" ht="25" x14ac:dyDescent="0.35">
      <c r="A10" s="4">
        <v>6</v>
      </c>
      <c r="B10" s="4" t="s">
        <v>177</v>
      </c>
      <c r="C10" s="4" t="s">
        <v>178</v>
      </c>
      <c r="D10" s="4" t="s">
        <v>179</v>
      </c>
      <c r="E10" s="11"/>
      <c r="F10" s="11" t="s">
        <v>49</v>
      </c>
    </row>
    <row r="11" spans="1:6" x14ac:dyDescent="0.35">
      <c r="A11" s="4">
        <v>7</v>
      </c>
      <c r="B11" s="4" t="s">
        <v>180</v>
      </c>
      <c r="C11" s="4" t="s">
        <v>181</v>
      </c>
      <c r="D11" s="4" t="s">
        <v>142</v>
      </c>
      <c r="E11" s="11"/>
      <c r="F11" s="11" t="s">
        <v>49</v>
      </c>
    </row>
    <row r="12" spans="1:6" x14ac:dyDescent="0.35">
      <c r="A12" s="4">
        <v>8</v>
      </c>
      <c r="B12" s="4" t="s">
        <v>182</v>
      </c>
      <c r="C12" s="4" t="s">
        <v>183</v>
      </c>
      <c r="D12" s="4" t="s">
        <v>142</v>
      </c>
      <c r="E12" s="11"/>
      <c r="F12" s="11" t="s">
        <v>49</v>
      </c>
    </row>
  </sheetData>
  <autoFilter ref="A4:F12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100" customWidth="1"/>
  </cols>
  <sheetData>
    <row r="1" spans="1:2" ht="18" x14ac:dyDescent="0.4">
      <c r="A1" s="1" t="s">
        <v>184</v>
      </c>
    </row>
    <row r="2" spans="1:2" x14ac:dyDescent="0.35">
      <c r="A2" s="2" t="s">
        <v>185</v>
      </c>
    </row>
    <row r="4" spans="1:2" x14ac:dyDescent="0.35">
      <c r="A4" s="3" t="s">
        <v>2</v>
      </c>
      <c r="B4" s="3" t="s">
        <v>186</v>
      </c>
    </row>
    <row r="5" spans="1:2" x14ac:dyDescent="0.35">
      <c r="A5" s="4">
        <v>1</v>
      </c>
      <c r="B5" s="4" t="s">
        <v>187</v>
      </c>
    </row>
    <row r="6" spans="1:2" x14ac:dyDescent="0.35">
      <c r="A6" s="4">
        <v>2</v>
      </c>
      <c r="B6" s="4" t="s">
        <v>188</v>
      </c>
    </row>
    <row r="7" spans="1:2" x14ac:dyDescent="0.35">
      <c r="A7" s="4">
        <v>3</v>
      </c>
      <c r="B7" s="4" t="s">
        <v>189</v>
      </c>
    </row>
    <row r="8" spans="1:2" x14ac:dyDescent="0.35">
      <c r="A8" s="4">
        <v>4</v>
      </c>
      <c r="B8" s="4" t="s">
        <v>190</v>
      </c>
    </row>
    <row r="9" spans="1:2" x14ac:dyDescent="0.35">
      <c r="A9" s="4">
        <v>5</v>
      </c>
      <c r="B9" s="4" t="s">
        <v>191</v>
      </c>
    </row>
    <row r="10" spans="1:2" x14ac:dyDescent="0.35">
      <c r="A10" s="4">
        <v>6</v>
      </c>
      <c r="B10" s="4" t="s">
        <v>192</v>
      </c>
    </row>
  </sheetData>
  <autoFilter ref="A4:B10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4262BC10CF04588370EDDB9D86DA6" ma:contentTypeVersion="18" ma:contentTypeDescription="Create a new document." ma:contentTypeScope="" ma:versionID="92afc2ebda89197cfbfe021d17edca51">
  <xsd:schema xmlns:xsd="http://www.w3.org/2001/XMLSchema" xmlns:xs="http://www.w3.org/2001/XMLSchema" xmlns:p="http://schemas.microsoft.com/office/2006/metadata/properties" xmlns:ns2="9095f4ca-a791-4a83-a461-435fc35a7e53" xmlns:ns3="e106789f-6c09-4ae8-8044-0328ee823ff5" targetNamespace="http://schemas.microsoft.com/office/2006/metadata/properties" ma:root="true" ma:fieldsID="9c0c789e01ede29ffcba1d65c5c93878" ns2:_="" ns3:_="">
    <xsd:import namespace="9095f4ca-a791-4a83-a461-435fc35a7e53"/>
    <xsd:import namespace="e106789f-6c09-4ae8-8044-0328ee823ff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95f4ca-a791-4a83-a461-435fc35a7e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5be117a-1603-4e0f-b880-0964d32819d6}" ma:internalName="TaxCatchAll" ma:showField="CatchAllData" ma:web="9095f4ca-a791-4a83-a461-435fc35a7e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06789f-6c09-4ae8-8044-0328ee823f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6b12678-b344-4172-93e1-4cfb9ecb7a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06789f-6c09-4ae8-8044-0328ee823ff5">
      <Terms xmlns="http://schemas.microsoft.com/office/infopath/2007/PartnerControls"/>
    </lcf76f155ced4ddcb4097134ff3c332f>
    <TaxCatchAll xmlns="9095f4ca-a791-4a83-a461-435fc35a7e53" xsi:nil="true"/>
  </documentManagement>
</p:properties>
</file>

<file path=customXml/itemProps1.xml><?xml version="1.0" encoding="utf-8"?>
<ds:datastoreItem xmlns:ds="http://schemas.openxmlformats.org/officeDocument/2006/customXml" ds:itemID="{9CC3BA09-671B-4CB4-A1F6-69A5C10288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6E9BCC-B8E5-4AB9-AB05-3ACE6CDCFA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95f4ca-a791-4a83-a461-435fc35a7e53"/>
    <ds:schemaRef ds:uri="e106789f-6c09-4ae8-8044-0328ee823f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96438C-DC88-40FF-91C4-03DB80007AB3}">
  <ds:schemaRefs>
    <ds:schemaRef ds:uri="http://schemas.microsoft.com/office/2006/metadata/properties"/>
    <ds:schemaRef ds:uri="http://schemas.microsoft.com/office/infopath/2007/PartnerControls"/>
    <ds:schemaRef ds:uri="e106789f-6c09-4ae8-8044-0328ee823ff5"/>
    <ds:schemaRef ds:uri="9095f4ca-a791-4a83-a461-435fc35a7e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Agenda</vt:lpstr>
      <vt:lpstr>Questions</vt:lpstr>
      <vt:lpstr>Spec Requirements</vt:lpstr>
      <vt:lpstr>Next Steps</vt:lpstr>
      <vt:lpstr>Blockers</vt:lpstr>
      <vt:lpstr>Parked (Mapping Call)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Mark Dallas</cp:lastModifiedBy>
  <cp:revision>0</cp:revision>
  <dcterms:created xsi:type="dcterms:W3CDTF">2026-10-20T16:28:32Z</dcterms:created>
  <dcterms:modified xsi:type="dcterms:W3CDTF">2026-10-20T17:27:34Z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0x0101009074262BC10CF04588370EDDB9D86DA6</vt:lpwstr>
  </property>
  <property fmtid="{D5CDD505-2E9C-101B-9397-08002B2CF9AE}" pid="3" name="MediaServiceImageTags">
    <vt:lpwstr/>
  </property>
</Properties>
</file>